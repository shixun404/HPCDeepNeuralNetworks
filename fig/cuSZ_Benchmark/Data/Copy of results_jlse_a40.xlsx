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0" documentId="13_ncr:1_{DCD15157-BFD2-4751-9706-1BF80AB1F78E}" xr6:coauthVersionLast="47" xr6:coauthVersionMax="47" xr10:uidLastSave="{00000000-0000-0000-0000-000000000000}"/>
  <bookViews>
    <workbookView xWindow="-120" yWindow="-120" windowWidth="20640" windowHeight="11160" activeTab="5" xr2:uid="{00000000-000D-0000-FFFF-FFFF00000000}"/>
  </bookViews>
  <sheets>
    <sheet name="cesm_theta_a100" sheetId="2" r:id="rId1"/>
    <sheet name="miranda" sheetId="1" r:id="rId2"/>
    <sheet name="jhtdb" sheetId="3" r:id="rId3"/>
    <sheet name="logscale" sheetId="8" r:id="rId4"/>
    <sheet name="loghurricane" sheetId="5" r:id="rId5"/>
    <sheet name="lognyx" sheetId="6" r:id="rId6"/>
    <sheet name="qmcpack" sheetId="9" r:id="rId7"/>
    <sheet name="rtm" sheetId="10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5" i="1" l="1"/>
  <c r="D37" i="10" l="1"/>
  <c r="D36" i="10"/>
  <c r="D35" i="10"/>
  <c r="S64" i="10"/>
  <c r="R64" i="10"/>
  <c r="Q64" i="10"/>
  <c r="P64" i="10"/>
  <c r="S63" i="10"/>
  <c r="R63" i="10"/>
  <c r="Q63" i="10"/>
  <c r="P63" i="10"/>
  <c r="S62" i="10"/>
  <c r="R62" i="10"/>
  <c r="Q62" i="10"/>
  <c r="P62" i="10"/>
  <c r="S61" i="10"/>
  <c r="R61" i="10"/>
  <c r="Q61" i="10"/>
  <c r="P61" i="10"/>
  <c r="S60" i="10"/>
  <c r="R60" i="10"/>
  <c r="Q60" i="10"/>
  <c r="P60" i="10"/>
  <c r="S59" i="10"/>
  <c r="R59" i="10"/>
  <c r="Q59" i="10"/>
  <c r="P59" i="10"/>
  <c r="S58" i="10"/>
  <c r="R58" i="10"/>
  <c r="Q58" i="10"/>
  <c r="P58" i="10"/>
  <c r="S53" i="10"/>
  <c r="R53" i="10"/>
  <c r="Q53" i="10"/>
  <c r="P53" i="10"/>
  <c r="S52" i="10"/>
  <c r="R52" i="10"/>
  <c r="Q52" i="10"/>
  <c r="P52" i="10"/>
  <c r="S51" i="10"/>
  <c r="R51" i="10"/>
  <c r="Q51" i="10"/>
  <c r="P51" i="10"/>
  <c r="S50" i="10"/>
  <c r="R50" i="10"/>
  <c r="Q50" i="10"/>
  <c r="P50" i="10"/>
  <c r="S49" i="10"/>
  <c r="R49" i="10"/>
  <c r="Q49" i="10"/>
  <c r="P49" i="10"/>
  <c r="S48" i="10"/>
  <c r="R48" i="10"/>
  <c r="Q48" i="10"/>
  <c r="P48" i="10"/>
  <c r="S47" i="10"/>
  <c r="R47" i="10"/>
  <c r="Q47" i="10"/>
  <c r="P47" i="10"/>
  <c r="S46" i="10"/>
  <c r="R46" i="10"/>
  <c r="Q46" i="10"/>
  <c r="P46" i="10"/>
  <c r="S41" i="10"/>
  <c r="R41" i="10"/>
  <c r="Q41" i="10"/>
  <c r="P41" i="10"/>
  <c r="S40" i="10"/>
  <c r="R40" i="10"/>
  <c r="Q40" i="10"/>
  <c r="P40" i="10"/>
  <c r="S39" i="10"/>
  <c r="R39" i="10"/>
  <c r="Q39" i="10"/>
  <c r="P39" i="10"/>
  <c r="S38" i="10"/>
  <c r="R38" i="10"/>
  <c r="Q38" i="10"/>
  <c r="P38" i="10"/>
  <c r="S37" i="10"/>
  <c r="R37" i="10"/>
  <c r="Q37" i="10"/>
  <c r="P37" i="10"/>
  <c r="S36" i="10"/>
  <c r="R36" i="10"/>
  <c r="Q36" i="10"/>
  <c r="P36" i="10"/>
  <c r="S35" i="10"/>
  <c r="R35" i="10"/>
  <c r="Q35" i="10"/>
  <c r="P35" i="10"/>
  <c r="S30" i="10"/>
  <c r="R30" i="10"/>
  <c r="Q30" i="10"/>
  <c r="P30" i="10"/>
  <c r="S29" i="10"/>
  <c r="R29" i="10"/>
  <c r="Q29" i="10"/>
  <c r="P29" i="10"/>
  <c r="S28" i="10"/>
  <c r="R28" i="10"/>
  <c r="Q28" i="10"/>
  <c r="P28" i="10"/>
  <c r="S27" i="10"/>
  <c r="R27" i="10"/>
  <c r="Q27" i="10"/>
  <c r="P27" i="10"/>
  <c r="S26" i="10"/>
  <c r="R26" i="10"/>
  <c r="Q26" i="10"/>
  <c r="P26" i="10"/>
  <c r="S25" i="10"/>
  <c r="R25" i="10"/>
  <c r="Q25" i="10"/>
  <c r="P25" i="10"/>
  <c r="S24" i="10"/>
  <c r="R24" i="10"/>
  <c r="Q24" i="10"/>
  <c r="P24" i="10"/>
  <c r="S19" i="10"/>
  <c r="R19" i="10"/>
  <c r="Q19" i="10"/>
  <c r="P19" i="10"/>
  <c r="S18" i="10"/>
  <c r="R18" i="10"/>
  <c r="Q18" i="10"/>
  <c r="P18" i="10"/>
  <c r="S17" i="10"/>
  <c r="R17" i="10"/>
  <c r="Q17" i="10"/>
  <c r="P17" i="10"/>
  <c r="S16" i="10"/>
  <c r="R16" i="10"/>
  <c r="Q16" i="10"/>
  <c r="P16" i="10"/>
  <c r="S15" i="10"/>
  <c r="R15" i="10"/>
  <c r="Q15" i="10"/>
  <c r="P15" i="10"/>
  <c r="S14" i="10"/>
  <c r="R14" i="10"/>
  <c r="Q14" i="10"/>
  <c r="P14" i="10"/>
  <c r="S13" i="10"/>
  <c r="R13" i="10"/>
  <c r="Q13" i="10"/>
  <c r="P13" i="10"/>
  <c r="S9" i="10"/>
  <c r="R9" i="10"/>
  <c r="Q9" i="10"/>
  <c r="P9" i="10"/>
  <c r="S8" i="10"/>
  <c r="R8" i="10"/>
  <c r="Q8" i="10"/>
  <c r="P8" i="10"/>
  <c r="S7" i="10"/>
  <c r="R7" i="10"/>
  <c r="Q7" i="10"/>
  <c r="P7" i="10"/>
  <c r="S6" i="10"/>
  <c r="R6" i="10"/>
  <c r="Q6" i="10"/>
  <c r="P6" i="10"/>
  <c r="S5" i="10"/>
  <c r="R5" i="10"/>
  <c r="Q5" i="10"/>
  <c r="P5" i="10"/>
  <c r="S4" i="10"/>
  <c r="R4" i="10"/>
  <c r="Q4" i="10"/>
  <c r="P4" i="10"/>
  <c r="S3" i="10"/>
  <c r="R3" i="10"/>
  <c r="Q3" i="10"/>
  <c r="P3" i="10"/>
  <c r="S64" i="9" l="1"/>
  <c r="R64" i="9"/>
  <c r="Q64" i="9"/>
  <c r="P64" i="9"/>
  <c r="S63" i="9"/>
  <c r="R63" i="9"/>
  <c r="Q63" i="9"/>
  <c r="P63" i="9"/>
  <c r="S62" i="9"/>
  <c r="R62" i="9"/>
  <c r="Q62" i="9"/>
  <c r="P62" i="9"/>
  <c r="S61" i="9"/>
  <c r="R61" i="9"/>
  <c r="Q61" i="9"/>
  <c r="P61" i="9"/>
  <c r="S60" i="9"/>
  <c r="R60" i="9"/>
  <c r="Q60" i="9"/>
  <c r="P60" i="9"/>
  <c r="S59" i="9"/>
  <c r="R59" i="9"/>
  <c r="Q59" i="9"/>
  <c r="P59" i="9"/>
  <c r="S58" i="9"/>
  <c r="R58" i="9"/>
  <c r="Q58" i="9"/>
  <c r="P58" i="9"/>
  <c r="S53" i="9"/>
  <c r="R53" i="9"/>
  <c r="Q53" i="9"/>
  <c r="P53" i="9"/>
  <c r="S52" i="9"/>
  <c r="R52" i="9"/>
  <c r="Q52" i="9"/>
  <c r="P52" i="9"/>
  <c r="S51" i="9"/>
  <c r="R51" i="9"/>
  <c r="Q51" i="9"/>
  <c r="P51" i="9"/>
  <c r="S50" i="9"/>
  <c r="R50" i="9"/>
  <c r="Q50" i="9"/>
  <c r="P50" i="9"/>
  <c r="S49" i="9"/>
  <c r="R49" i="9"/>
  <c r="Q49" i="9"/>
  <c r="P49" i="9"/>
  <c r="S48" i="9"/>
  <c r="R48" i="9"/>
  <c r="Q48" i="9"/>
  <c r="P48" i="9"/>
  <c r="S47" i="9"/>
  <c r="R47" i="9"/>
  <c r="Q47" i="9"/>
  <c r="P47" i="9"/>
  <c r="S46" i="9"/>
  <c r="R46" i="9"/>
  <c r="Q46" i="9"/>
  <c r="P46" i="9"/>
  <c r="S41" i="9"/>
  <c r="R41" i="9"/>
  <c r="Q41" i="9"/>
  <c r="P41" i="9"/>
  <c r="S40" i="9"/>
  <c r="R40" i="9"/>
  <c r="Q40" i="9"/>
  <c r="P40" i="9"/>
  <c r="S39" i="9"/>
  <c r="R39" i="9"/>
  <c r="Q39" i="9"/>
  <c r="P39" i="9"/>
  <c r="S38" i="9"/>
  <c r="R38" i="9"/>
  <c r="Q38" i="9"/>
  <c r="P38" i="9"/>
  <c r="S37" i="9"/>
  <c r="R37" i="9"/>
  <c r="Q37" i="9"/>
  <c r="P37" i="9"/>
  <c r="S36" i="9"/>
  <c r="R36" i="9"/>
  <c r="Q36" i="9"/>
  <c r="P36" i="9"/>
  <c r="S35" i="9"/>
  <c r="R35" i="9"/>
  <c r="Q35" i="9"/>
  <c r="P35" i="9"/>
  <c r="S30" i="9"/>
  <c r="R30" i="9"/>
  <c r="Q30" i="9"/>
  <c r="P30" i="9"/>
  <c r="S29" i="9"/>
  <c r="R29" i="9"/>
  <c r="Q29" i="9"/>
  <c r="P29" i="9"/>
  <c r="S28" i="9"/>
  <c r="R28" i="9"/>
  <c r="Q28" i="9"/>
  <c r="P28" i="9"/>
  <c r="S27" i="9"/>
  <c r="R27" i="9"/>
  <c r="Q27" i="9"/>
  <c r="P27" i="9"/>
  <c r="S26" i="9"/>
  <c r="R26" i="9"/>
  <c r="Q26" i="9"/>
  <c r="P26" i="9"/>
  <c r="S25" i="9"/>
  <c r="R25" i="9"/>
  <c r="Q25" i="9"/>
  <c r="P25" i="9"/>
  <c r="S24" i="9"/>
  <c r="R24" i="9"/>
  <c r="Q24" i="9"/>
  <c r="P24" i="9"/>
  <c r="S19" i="9"/>
  <c r="R19" i="9"/>
  <c r="Q19" i="9"/>
  <c r="P19" i="9"/>
  <c r="S18" i="9"/>
  <c r="R18" i="9"/>
  <c r="Q18" i="9"/>
  <c r="P18" i="9"/>
  <c r="S17" i="9"/>
  <c r="R17" i="9"/>
  <c r="Q17" i="9"/>
  <c r="P17" i="9"/>
  <c r="S16" i="9"/>
  <c r="R16" i="9"/>
  <c r="Q16" i="9"/>
  <c r="P16" i="9"/>
  <c r="S15" i="9"/>
  <c r="R15" i="9"/>
  <c r="Q15" i="9"/>
  <c r="P15" i="9"/>
  <c r="S14" i="9"/>
  <c r="R14" i="9"/>
  <c r="Q14" i="9"/>
  <c r="P14" i="9"/>
  <c r="S13" i="9"/>
  <c r="R13" i="9"/>
  <c r="Q13" i="9"/>
  <c r="P13" i="9"/>
  <c r="S9" i="9"/>
  <c r="R9" i="9"/>
  <c r="Q9" i="9"/>
  <c r="P9" i="9"/>
  <c r="S8" i="9"/>
  <c r="R8" i="9"/>
  <c r="Q8" i="9"/>
  <c r="P8" i="9"/>
  <c r="S7" i="9"/>
  <c r="R7" i="9"/>
  <c r="Q7" i="9"/>
  <c r="P7" i="9"/>
  <c r="S6" i="9"/>
  <c r="R6" i="9"/>
  <c r="Q6" i="9"/>
  <c r="P6" i="9"/>
  <c r="S5" i="9"/>
  <c r="R5" i="9"/>
  <c r="Q5" i="9"/>
  <c r="P5" i="9"/>
  <c r="S4" i="9"/>
  <c r="R4" i="9"/>
  <c r="Q4" i="9"/>
  <c r="P4" i="9"/>
  <c r="S3" i="9"/>
  <c r="R3" i="9"/>
  <c r="Q3" i="9"/>
  <c r="P3" i="9"/>
  <c r="D38" i="8"/>
  <c r="S58" i="8"/>
  <c r="R58" i="8"/>
  <c r="Q58" i="8"/>
  <c r="P58" i="8"/>
  <c r="S59" i="8"/>
  <c r="R59" i="8"/>
  <c r="Q59" i="8"/>
  <c r="P59" i="8"/>
  <c r="S60" i="8"/>
  <c r="R60" i="8"/>
  <c r="Q60" i="8"/>
  <c r="P60" i="8"/>
  <c r="S61" i="8"/>
  <c r="R61" i="8"/>
  <c r="Q61" i="8"/>
  <c r="P61" i="8"/>
  <c r="S62" i="8"/>
  <c r="R62" i="8"/>
  <c r="Q62" i="8"/>
  <c r="P62" i="8"/>
  <c r="S63" i="8"/>
  <c r="R63" i="8"/>
  <c r="Q63" i="8"/>
  <c r="P63" i="8"/>
  <c r="S64" i="8"/>
  <c r="R64" i="8"/>
  <c r="Q64" i="8"/>
  <c r="P64" i="8"/>
  <c r="S53" i="8"/>
  <c r="R53" i="8"/>
  <c r="Q53" i="8"/>
  <c r="P53" i="8"/>
  <c r="S52" i="8"/>
  <c r="R52" i="8"/>
  <c r="Q52" i="8"/>
  <c r="P52" i="8"/>
  <c r="S51" i="8"/>
  <c r="R51" i="8"/>
  <c r="Q51" i="8"/>
  <c r="P51" i="8"/>
  <c r="S50" i="8"/>
  <c r="R50" i="8"/>
  <c r="Q50" i="8"/>
  <c r="P50" i="8"/>
  <c r="S49" i="8"/>
  <c r="R49" i="8"/>
  <c r="Q49" i="8"/>
  <c r="P49" i="8"/>
  <c r="S48" i="8"/>
  <c r="R48" i="8"/>
  <c r="Q48" i="8"/>
  <c r="P48" i="8"/>
  <c r="S47" i="8"/>
  <c r="R47" i="8"/>
  <c r="Q47" i="8"/>
  <c r="P47" i="8"/>
  <c r="S46" i="8"/>
  <c r="R46" i="8"/>
  <c r="Q46" i="8"/>
  <c r="P46" i="8"/>
  <c r="S35" i="8"/>
  <c r="R35" i="8"/>
  <c r="Q35" i="8"/>
  <c r="P35" i="8"/>
  <c r="S36" i="8"/>
  <c r="R36" i="8"/>
  <c r="Q36" i="8"/>
  <c r="P36" i="8"/>
  <c r="S37" i="8"/>
  <c r="R37" i="8"/>
  <c r="Q37" i="8"/>
  <c r="P37" i="8"/>
  <c r="S38" i="8"/>
  <c r="R38" i="8"/>
  <c r="Q38" i="8"/>
  <c r="P38" i="8"/>
  <c r="S39" i="8"/>
  <c r="R39" i="8"/>
  <c r="Q39" i="8"/>
  <c r="P39" i="8"/>
  <c r="S40" i="8"/>
  <c r="R40" i="8"/>
  <c r="Q40" i="8"/>
  <c r="P40" i="8"/>
  <c r="S41" i="8"/>
  <c r="R41" i="8"/>
  <c r="Q41" i="8"/>
  <c r="P41" i="8"/>
  <c r="S24" i="8"/>
  <c r="R24" i="8"/>
  <c r="Q24" i="8"/>
  <c r="P24" i="8"/>
  <c r="S25" i="8"/>
  <c r="R25" i="8"/>
  <c r="Q25" i="8"/>
  <c r="P25" i="8"/>
  <c r="S26" i="8"/>
  <c r="R26" i="8"/>
  <c r="Q26" i="8"/>
  <c r="P26" i="8"/>
  <c r="S27" i="8"/>
  <c r="R27" i="8"/>
  <c r="Q27" i="8"/>
  <c r="P27" i="8"/>
  <c r="S28" i="8"/>
  <c r="R28" i="8"/>
  <c r="Q28" i="8"/>
  <c r="P28" i="8"/>
  <c r="S29" i="8"/>
  <c r="R29" i="8"/>
  <c r="Q29" i="8"/>
  <c r="P29" i="8"/>
  <c r="S30" i="8"/>
  <c r="R30" i="8"/>
  <c r="Q30" i="8"/>
  <c r="P30" i="8"/>
  <c r="S13" i="8"/>
  <c r="R13" i="8"/>
  <c r="Q13" i="8"/>
  <c r="P13" i="8"/>
  <c r="S14" i="8"/>
  <c r="R14" i="8"/>
  <c r="Q14" i="8"/>
  <c r="P14" i="8"/>
  <c r="S15" i="8"/>
  <c r="R15" i="8"/>
  <c r="Q15" i="8"/>
  <c r="P15" i="8"/>
  <c r="S16" i="8"/>
  <c r="R16" i="8"/>
  <c r="Q16" i="8"/>
  <c r="P16" i="8"/>
  <c r="S17" i="8"/>
  <c r="R17" i="8"/>
  <c r="Q17" i="8"/>
  <c r="P17" i="8"/>
  <c r="S18" i="8"/>
  <c r="R18" i="8"/>
  <c r="Q18" i="8"/>
  <c r="P18" i="8"/>
  <c r="S19" i="8"/>
  <c r="R19" i="8"/>
  <c r="Q19" i="8"/>
  <c r="P19" i="8"/>
  <c r="S3" i="8"/>
  <c r="R3" i="8"/>
  <c r="Q3" i="8"/>
  <c r="P3" i="8"/>
  <c r="S4" i="8"/>
  <c r="R4" i="8"/>
  <c r="Q4" i="8"/>
  <c r="P4" i="8"/>
  <c r="S5" i="8"/>
  <c r="R5" i="8"/>
  <c r="Q5" i="8"/>
  <c r="P5" i="8"/>
  <c r="S6" i="8"/>
  <c r="R6" i="8"/>
  <c r="Q6" i="8"/>
  <c r="P6" i="8"/>
  <c r="S7" i="8"/>
  <c r="R7" i="8"/>
  <c r="Q7" i="8"/>
  <c r="P7" i="8"/>
  <c r="S8" i="8"/>
  <c r="R8" i="8"/>
  <c r="Q8" i="8"/>
  <c r="P8" i="8"/>
  <c r="S9" i="8"/>
  <c r="R9" i="8"/>
  <c r="Q9" i="8"/>
  <c r="P9" i="8"/>
  <c r="D39" i="6"/>
  <c r="S58" i="6"/>
  <c r="R58" i="6"/>
  <c r="Q58" i="6"/>
  <c r="P58" i="6"/>
  <c r="S59" i="6"/>
  <c r="R59" i="6"/>
  <c r="Q59" i="6"/>
  <c r="P59" i="6"/>
  <c r="S60" i="6"/>
  <c r="R60" i="6"/>
  <c r="Q60" i="6"/>
  <c r="P60" i="6"/>
  <c r="S61" i="6"/>
  <c r="R61" i="6"/>
  <c r="Q61" i="6"/>
  <c r="P61" i="6"/>
  <c r="S62" i="6"/>
  <c r="R62" i="6"/>
  <c r="Q62" i="6"/>
  <c r="P62" i="6"/>
  <c r="S63" i="6"/>
  <c r="R63" i="6"/>
  <c r="Q63" i="6"/>
  <c r="P63" i="6"/>
  <c r="S64" i="6"/>
  <c r="R64" i="6"/>
  <c r="Q64" i="6"/>
  <c r="P64" i="6"/>
  <c r="S53" i="6"/>
  <c r="R53" i="6"/>
  <c r="Q53" i="6"/>
  <c r="P53" i="6"/>
  <c r="S52" i="6"/>
  <c r="R52" i="6"/>
  <c r="Q52" i="6"/>
  <c r="P52" i="6"/>
  <c r="S51" i="6"/>
  <c r="R51" i="6"/>
  <c r="Q51" i="6"/>
  <c r="P51" i="6"/>
  <c r="S50" i="6"/>
  <c r="R50" i="6"/>
  <c r="Q50" i="6"/>
  <c r="P50" i="6"/>
  <c r="S49" i="6"/>
  <c r="R49" i="6"/>
  <c r="Q49" i="6"/>
  <c r="P49" i="6"/>
  <c r="S48" i="6"/>
  <c r="R48" i="6"/>
  <c r="Q48" i="6"/>
  <c r="P48" i="6"/>
  <c r="S47" i="6"/>
  <c r="R47" i="6"/>
  <c r="Q47" i="6"/>
  <c r="P47" i="6"/>
  <c r="S46" i="6"/>
  <c r="R46" i="6"/>
  <c r="Q46" i="6"/>
  <c r="P46" i="6"/>
  <c r="S35" i="6"/>
  <c r="R35" i="6"/>
  <c r="Q35" i="6"/>
  <c r="P35" i="6"/>
  <c r="S36" i="6"/>
  <c r="R36" i="6"/>
  <c r="Q36" i="6"/>
  <c r="P36" i="6"/>
  <c r="S37" i="6"/>
  <c r="R37" i="6"/>
  <c r="Q37" i="6"/>
  <c r="P37" i="6"/>
  <c r="S38" i="6"/>
  <c r="R38" i="6"/>
  <c r="Q38" i="6"/>
  <c r="P38" i="6"/>
  <c r="S39" i="6"/>
  <c r="R39" i="6"/>
  <c r="Q39" i="6"/>
  <c r="P39" i="6"/>
  <c r="S40" i="6"/>
  <c r="R40" i="6"/>
  <c r="Q40" i="6"/>
  <c r="P40" i="6"/>
  <c r="S41" i="6"/>
  <c r="R41" i="6"/>
  <c r="Q41" i="6"/>
  <c r="P41" i="6"/>
  <c r="S24" i="6"/>
  <c r="R24" i="6"/>
  <c r="Q24" i="6"/>
  <c r="P24" i="6"/>
  <c r="S25" i="6"/>
  <c r="R25" i="6"/>
  <c r="Q25" i="6"/>
  <c r="P25" i="6"/>
  <c r="S26" i="6"/>
  <c r="R26" i="6"/>
  <c r="Q26" i="6"/>
  <c r="P26" i="6"/>
  <c r="S27" i="6"/>
  <c r="R27" i="6"/>
  <c r="Q27" i="6"/>
  <c r="P27" i="6"/>
  <c r="S28" i="6"/>
  <c r="R28" i="6"/>
  <c r="Q28" i="6"/>
  <c r="P28" i="6"/>
  <c r="S29" i="6"/>
  <c r="R29" i="6"/>
  <c r="Q29" i="6"/>
  <c r="P29" i="6"/>
  <c r="S30" i="6"/>
  <c r="R30" i="6"/>
  <c r="Q30" i="6"/>
  <c r="P30" i="6"/>
  <c r="S13" i="6"/>
  <c r="R13" i="6"/>
  <c r="Q13" i="6"/>
  <c r="P13" i="6"/>
  <c r="S14" i="6"/>
  <c r="R14" i="6"/>
  <c r="Q14" i="6"/>
  <c r="P14" i="6"/>
  <c r="S15" i="6"/>
  <c r="R15" i="6"/>
  <c r="Q15" i="6"/>
  <c r="P15" i="6"/>
  <c r="S16" i="6"/>
  <c r="R16" i="6"/>
  <c r="Q16" i="6"/>
  <c r="P16" i="6"/>
  <c r="S17" i="6"/>
  <c r="R17" i="6"/>
  <c r="Q17" i="6"/>
  <c r="P17" i="6"/>
  <c r="S18" i="6"/>
  <c r="R18" i="6"/>
  <c r="Q18" i="6"/>
  <c r="P18" i="6"/>
  <c r="S19" i="6"/>
  <c r="R19" i="6"/>
  <c r="Q19" i="6"/>
  <c r="P19" i="6"/>
  <c r="S3" i="6"/>
  <c r="R3" i="6"/>
  <c r="Q3" i="6"/>
  <c r="P3" i="6"/>
  <c r="S4" i="6"/>
  <c r="R4" i="6"/>
  <c r="Q4" i="6"/>
  <c r="P4" i="6"/>
  <c r="S5" i="6"/>
  <c r="R5" i="6"/>
  <c r="Q5" i="6"/>
  <c r="P5" i="6"/>
  <c r="S6" i="6"/>
  <c r="R6" i="6"/>
  <c r="Q6" i="6"/>
  <c r="P6" i="6"/>
  <c r="S7" i="6"/>
  <c r="R7" i="6"/>
  <c r="Q7" i="6"/>
  <c r="P7" i="6"/>
  <c r="S8" i="6"/>
  <c r="R8" i="6"/>
  <c r="Q8" i="6"/>
  <c r="P8" i="6"/>
  <c r="S9" i="6"/>
  <c r="R9" i="6"/>
  <c r="Q9" i="6"/>
  <c r="P9" i="6"/>
  <c r="S58" i="5"/>
  <c r="R58" i="5"/>
  <c r="Q58" i="5"/>
  <c r="P58" i="5"/>
  <c r="S59" i="5"/>
  <c r="R59" i="5"/>
  <c r="Q59" i="5"/>
  <c r="P59" i="5"/>
  <c r="S60" i="5"/>
  <c r="R60" i="5"/>
  <c r="Q60" i="5"/>
  <c r="P60" i="5"/>
  <c r="S61" i="5"/>
  <c r="R61" i="5"/>
  <c r="Q61" i="5"/>
  <c r="P61" i="5"/>
  <c r="S62" i="5"/>
  <c r="R62" i="5"/>
  <c r="Q62" i="5"/>
  <c r="P62" i="5"/>
  <c r="S63" i="5"/>
  <c r="R63" i="5"/>
  <c r="Q63" i="5"/>
  <c r="P63" i="5"/>
  <c r="S64" i="5"/>
  <c r="R64" i="5"/>
  <c r="Q64" i="5"/>
  <c r="P64" i="5"/>
  <c r="S53" i="5"/>
  <c r="R53" i="5"/>
  <c r="Q53" i="5"/>
  <c r="P53" i="5"/>
  <c r="S52" i="5"/>
  <c r="R52" i="5"/>
  <c r="Q52" i="5"/>
  <c r="P52" i="5"/>
  <c r="S51" i="5"/>
  <c r="R51" i="5"/>
  <c r="Q51" i="5"/>
  <c r="P51" i="5"/>
  <c r="S50" i="5"/>
  <c r="R50" i="5"/>
  <c r="Q50" i="5"/>
  <c r="P50" i="5"/>
  <c r="S49" i="5"/>
  <c r="R49" i="5"/>
  <c r="Q49" i="5"/>
  <c r="P49" i="5"/>
  <c r="S48" i="5"/>
  <c r="R48" i="5"/>
  <c r="Q48" i="5"/>
  <c r="P48" i="5"/>
  <c r="S47" i="5"/>
  <c r="R47" i="5"/>
  <c r="Q47" i="5"/>
  <c r="P47" i="5"/>
  <c r="S46" i="5"/>
  <c r="R46" i="5"/>
  <c r="Q46" i="5"/>
  <c r="P46" i="5"/>
  <c r="S35" i="5"/>
  <c r="R35" i="5"/>
  <c r="Q35" i="5"/>
  <c r="P35" i="5"/>
  <c r="S36" i="5"/>
  <c r="R36" i="5"/>
  <c r="Q36" i="5"/>
  <c r="P36" i="5"/>
  <c r="S37" i="5"/>
  <c r="R37" i="5"/>
  <c r="Q37" i="5"/>
  <c r="P37" i="5"/>
  <c r="S38" i="5"/>
  <c r="R38" i="5"/>
  <c r="Q38" i="5"/>
  <c r="P38" i="5"/>
  <c r="S39" i="5"/>
  <c r="R39" i="5"/>
  <c r="Q39" i="5"/>
  <c r="P39" i="5"/>
  <c r="S40" i="5"/>
  <c r="R40" i="5"/>
  <c r="Q40" i="5"/>
  <c r="P40" i="5"/>
  <c r="S41" i="5"/>
  <c r="R41" i="5"/>
  <c r="Q41" i="5"/>
  <c r="P41" i="5"/>
  <c r="S24" i="5"/>
  <c r="R24" i="5"/>
  <c r="Q24" i="5"/>
  <c r="P24" i="5"/>
  <c r="S25" i="5"/>
  <c r="R25" i="5"/>
  <c r="Q25" i="5"/>
  <c r="P25" i="5"/>
  <c r="S26" i="5"/>
  <c r="R26" i="5"/>
  <c r="Q26" i="5"/>
  <c r="P26" i="5"/>
  <c r="S27" i="5"/>
  <c r="R27" i="5"/>
  <c r="Q27" i="5"/>
  <c r="P27" i="5"/>
  <c r="S28" i="5"/>
  <c r="R28" i="5"/>
  <c r="Q28" i="5"/>
  <c r="P28" i="5"/>
  <c r="S29" i="5"/>
  <c r="R29" i="5"/>
  <c r="Q29" i="5"/>
  <c r="P29" i="5"/>
  <c r="S30" i="5"/>
  <c r="R30" i="5"/>
  <c r="Q30" i="5"/>
  <c r="P30" i="5"/>
  <c r="S13" i="5"/>
  <c r="R13" i="5"/>
  <c r="Q13" i="5"/>
  <c r="P13" i="5"/>
  <c r="S14" i="5"/>
  <c r="R14" i="5"/>
  <c r="Q14" i="5"/>
  <c r="P14" i="5"/>
  <c r="S15" i="5"/>
  <c r="R15" i="5"/>
  <c r="Q15" i="5"/>
  <c r="P15" i="5"/>
  <c r="S16" i="5"/>
  <c r="R16" i="5"/>
  <c r="Q16" i="5"/>
  <c r="P16" i="5"/>
  <c r="S17" i="5"/>
  <c r="R17" i="5"/>
  <c r="Q17" i="5"/>
  <c r="P17" i="5"/>
  <c r="S18" i="5"/>
  <c r="R18" i="5"/>
  <c r="Q18" i="5"/>
  <c r="P18" i="5"/>
  <c r="S19" i="5"/>
  <c r="R19" i="5"/>
  <c r="Q19" i="5"/>
  <c r="P19" i="5"/>
  <c r="S3" i="5"/>
  <c r="R3" i="5"/>
  <c r="Q3" i="5"/>
  <c r="P3" i="5"/>
  <c r="S4" i="5"/>
  <c r="R4" i="5"/>
  <c r="Q4" i="5"/>
  <c r="P4" i="5"/>
  <c r="S5" i="5"/>
  <c r="R5" i="5"/>
  <c r="Q5" i="5"/>
  <c r="P5" i="5"/>
  <c r="S6" i="5"/>
  <c r="R6" i="5"/>
  <c r="Q6" i="5"/>
  <c r="P6" i="5"/>
  <c r="S7" i="5"/>
  <c r="R7" i="5"/>
  <c r="Q7" i="5"/>
  <c r="P7" i="5"/>
  <c r="S8" i="5"/>
  <c r="R8" i="5"/>
  <c r="Q8" i="5"/>
  <c r="P8" i="5"/>
  <c r="S9" i="5"/>
  <c r="R9" i="5"/>
  <c r="Q9" i="5"/>
  <c r="P9" i="5"/>
  <c r="D39" i="3"/>
  <c r="D40" i="3"/>
  <c r="Q35" i="3"/>
  <c r="R6" i="3"/>
  <c r="Q7" i="3"/>
  <c r="Q8" i="3"/>
  <c r="Q3" i="3"/>
  <c r="Q13" i="3"/>
  <c r="S58" i="3"/>
  <c r="R58" i="3"/>
  <c r="P58" i="3"/>
  <c r="Q58" i="3"/>
  <c r="S59" i="3"/>
  <c r="R59" i="3"/>
  <c r="P59" i="3"/>
  <c r="Q59" i="3"/>
  <c r="S60" i="3"/>
  <c r="R60" i="3"/>
  <c r="P60" i="3"/>
  <c r="Q60" i="3"/>
  <c r="S61" i="3"/>
  <c r="R61" i="3"/>
  <c r="Q61" i="3"/>
  <c r="P61" i="3"/>
  <c r="S62" i="3"/>
  <c r="R62" i="3"/>
  <c r="Q62" i="3"/>
  <c r="P62" i="3"/>
  <c r="S63" i="3"/>
  <c r="R63" i="3"/>
  <c r="P63" i="3"/>
  <c r="Q63" i="3"/>
  <c r="S64" i="3"/>
  <c r="R64" i="3"/>
  <c r="P64" i="3"/>
  <c r="Q64" i="3"/>
  <c r="S53" i="3"/>
  <c r="R53" i="3"/>
  <c r="P53" i="3"/>
  <c r="Q53" i="3"/>
  <c r="S52" i="3"/>
  <c r="R52" i="3"/>
  <c r="P52" i="3"/>
  <c r="Q52" i="3"/>
  <c r="S51" i="3"/>
  <c r="R51" i="3"/>
  <c r="P51" i="3"/>
  <c r="Q51" i="3"/>
  <c r="S50" i="3"/>
  <c r="R50" i="3"/>
  <c r="P50" i="3"/>
  <c r="Q50" i="3"/>
  <c r="S49" i="3"/>
  <c r="R49" i="3"/>
  <c r="P49" i="3"/>
  <c r="Q49" i="3"/>
  <c r="S48" i="3"/>
  <c r="R48" i="3"/>
  <c r="P48" i="3"/>
  <c r="Q48" i="3"/>
  <c r="S47" i="3"/>
  <c r="R47" i="3"/>
  <c r="P47" i="3"/>
  <c r="Q47" i="3"/>
  <c r="S46" i="3"/>
  <c r="R46" i="3"/>
  <c r="Q46" i="3"/>
  <c r="P46" i="3"/>
  <c r="S35" i="3"/>
  <c r="R35" i="3"/>
  <c r="P35" i="3"/>
  <c r="S36" i="3"/>
  <c r="R36" i="3"/>
  <c r="P36" i="3"/>
  <c r="Q36" i="3"/>
  <c r="S37" i="3"/>
  <c r="R37" i="3"/>
  <c r="Q37" i="3"/>
  <c r="P37" i="3"/>
  <c r="S38" i="3"/>
  <c r="R38" i="3"/>
  <c r="P38" i="3"/>
  <c r="Q38" i="3"/>
  <c r="S39" i="3"/>
  <c r="R39" i="3"/>
  <c r="P39" i="3"/>
  <c r="Q39" i="3"/>
  <c r="S40" i="3"/>
  <c r="R40" i="3"/>
  <c r="P40" i="3"/>
  <c r="Q40" i="3"/>
  <c r="S41" i="3"/>
  <c r="R41" i="3"/>
  <c r="Q41" i="3"/>
  <c r="P41" i="3"/>
  <c r="S24" i="3"/>
  <c r="R24" i="3"/>
  <c r="P24" i="3"/>
  <c r="Q24" i="3"/>
  <c r="S25" i="3"/>
  <c r="R25" i="3"/>
  <c r="P25" i="3"/>
  <c r="Q25" i="3"/>
  <c r="S26" i="3"/>
  <c r="R26" i="3"/>
  <c r="Q26" i="3"/>
  <c r="P26" i="3"/>
  <c r="S27" i="3"/>
  <c r="R27" i="3"/>
  <c r="P27" i="3"/>
  <c r="Q27" i="3"/>
  <c r="S28" i="3"/>
  <c r="R28" i="3"/>
  <c r="Q28" i="3"/>
  <c r="P28" i="3"/>
  <c r="S29" i="3"/>
  <c r="R29" i="3"/>
  <c r="P29" i="3"/>
  <c r="Q29" i="3"/>
  <c r="S30" i="3"/>
  <c r="R30" i="3"/>
  <c r="P30" i="3"/>
  <c r="Q30" i="3"/>
  <c r="S13" i="3"/>
  <c r="R13" i="3"/>
  <c r="P13" i="3"/>
  <c r="S14" i="3"/>
  <c r="R14" i="3"/>
  <c r="Q14" i="3"/>
  <c r="P14" i="3"/>
  <c r="S15" i="3"/>
  <c r="R15" i="3"/>
  <c r="P15" i="3"/>
  <c r="Q15" i="3"/>
  <c r="S16" i="3"/>
  <c r="R16" i="3"/>
  <c r="P16" i="3"/>
  <c r="Q16" i="3"/>
  <c r="S17" i="3"/>
  <c r="R17" i="3"/>
  <c r="Q17" i="3"/>
  <c r="P17" i="3"/>
  <c r="S18" i="3"/>
  <c r="R18" i="3"/>
  <c r="P18" i="3"/>
  <c r="Q18" i="3"/>
  <c r="S19" i="3"/>
  <c r="R19" i="3"/>
  <c r="Q19" i="3"/>
  <c r="P19" i="3"/>
  <c r="S3" i="3"/>
  <c r="R3" i="3"/>
  <c r="P3" i="3"/>
  <c r="S4" i="3"/>
  <c r="R4" i="3"/>
  <c r="Q4" i="3"/>
  <c r="P4" i="3"/>
  <c r="S5" i="3"/>
  <c r="R5" i="3"/>
  <c r="Q5" i="3"/>
  <c r="P5" i="3"/>
  <c r="S6" i="3"/>
  <c r="Q6" i="3"/>
  <c r="P6" i="3"/>
  <c r="S7" i="3"/>
  <c r="R7" i="3"/>
  <c r="P7" i="3"/>
  <c r="S8" i="3"/>
  <c r="R8" i="3"/>
  <c r="P8" i="3"/>
  <c r="S9" i="3"/>
  <c r="R9" i="3"/>
  <c r="Q9" i="3"/>
  <c r="P9" i="3"/>
  <c r="Q56" i="2" l="1"/>
  <c r="R56" i="2"/>
  <c r="S56" i="2"/>
  <c r="T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66" i="2"/>
  <c r="S66" i="2"/>
  <c r="Q66" i="2"/>
  <c r="T64" i="2"/>
  <c r="S64" i="2"/>
  <c r="Q64" i="2"/>
  <c r="T62" i="2"/>
  <c r="S62" i="2"/>
  <c r="Q62" i="2"/>
  <c r="T67" i="2"/>
  <c r="S67" i="2"/>
  <c r="Q67" i="2"/>
  <c r="T65" i="2"/>
  <c r="S65" i="2"/>
  <c r="Q65" i="2"/>
  <c r="T63" i="2"/>
  <c r="S63" i="2"/>
  <c r="Q63" i="2"/>
  <c r="T61" i="2"/>
  <c r="S61" i="2"/>
  <c r="R61" i="2"/>
  <c r="Q61" i="2"/>
  <c r="T33" i="2"/>
  <c r="S33" i="2"/>
  <c r="Q33" i="2"/>
  <c r="T32" i="2"/>
  <c r="S32" i="2"/>
  <c r="R32" i="2"/>
  <c r="Q32" i="2"/>
  <c r="T31" i="2"/>
  <c r="S31" i="2"/>
  <c r="Q31" i="2"/>
  <c r="T30" i="2"/>
  <c r="S30" i="2"/>
  <c r="Q30" i="2"/>
  <c r="T29" i="2"/>
  <c r="S29" i="2"/>
  <c r="Q29" i="2"/>
  <c r="T28" i="2"/>
  <c r="S28" i="2"/>
  <c r="R28" i="2"/>
  <c r="Q28" i="2"/>
  <c r="T27" i="2"/>
  <c r="S27" i="2"/>
  <c r="R27" i="2"/>
  <c r="Q27" i="2"/>
  <c r="T22" i="2"/>
  <c r="S22" i="2"/>
  <c r="R22" i="2"/>
  <c r="Q22" i="2"/>
  <c r="T21" i="2"/>
  <c r="S21" i="2"/>
  <c r="Q21" i="2"/>
  <c r="T20" i="2"/>
  <c r="S20" i="2"/>
  <c r="Q20" i="2"/>
  <c r="T19" i="2"/>
  <c r="S19" i="2"/>
  <c r="Q19" i="2"/>
  <c r="T18" i="2"/>
  <c r="S18" i="2"/>
  <c r="R18" i="2"/>
  <c r="Q18" i="2"/>
  <c r="T17" i="2"/>
  <c r="S17" i="2"/>
  <c r="R17" i="2"/>
  <c r="Q17" i="2"/>
  <c r="T16" i="2"/>
  <c r="S16" i="2"/>
  <c r="R16" i="2"/>
  <c r="Q16" i="2"/>
  <c r="T10" i="2"/>
  <c r="S10" i="2"/>
  <c r="R10" i="2"/>
  <c r="Q10" i="2"/>
  <c r="T9" i="2"/>
  <c r="S9" i="2"/>
  <c r="R9" i="2"/>
  <c r="Q9" i="2"/>
  <c r="T8" i="2"/>
  <c r="S8" i="2"/>
  <c r="R8" i="2"/>
  <c r="Q8" i="2"/>
  <c r="T7" i="2"/>
  <c r="S7" i="2"/>
  <c r="R7" i="2"/>
  <c r="Q7" i="2"/>
  <c r="T6" i="2"/>
  <c r="S6" i="2"/>
  <c r="Q6" i="2"/>
  <c r="T5" i="2"/>
  <c r="S5" i="2"/>
  <c r="Q5" i="2"/>
  <c r="T4" i="2"/>
  <c r="S4" i="2"/>
  <c r="Q4" i="2"/>
  <c r="D66" i="2"/>
  <c r="R66" i="2" s="1"/>
  <c r="D64" i="2"/>
  <c r="R64" i="2" s="1"/>
  <c r="D62" i="2"/>
  <c r="R62" i="2" s="1"/>
  <c r="D67" i="2"/>
  <c r="R67" i="2" s="1"/>
  <c r="D65" i="2"/>
  <c r="R65" i="2" s="1"/>
  <c r="D63" i="2"/>
  <c r="R63" i="2" s="1"/>
  <c r="D61" i="2"/>
  <c r="D33" i="2"/>
  <c r="R33" i="2" s="1"/>
  <c r="D32" i="2"/>
  <c r="D31" i="2"/>
  <c r="R31" i="2" s="1"/>
  <c r="D30" i="2"/>
  <c r="R30" i="2" s="1"/>
  <c r="D29" i="2"/>
  <c r="R29" i="2" s="1"/>
  <c r="D28" i="2"/>
  <c r="D27" i="2"/>
  <c r="D16" i="2"/>
  <c r="D17" i="2"/>
  <c r="D18" i="2"/>
  <c r="D19" i="2"/>
  <c r="R19" i="2" s="1"/>
  <c r="D20" i="2"/>
  <c r="R20" i="2" s="1"/>
  <c r="D21" i="2"/>
  <c r="R21" i="2" s="1"/>
  <c r="D22" i="2"/>
  <c r="D10" i="2"/>
  <c r="D9" i="2"/>
  <c r="D8" i="2"/>
  <c r="D7" i="2"/>
  <c r="D6" i="2"/>
  <c r="R6" i="2" s="1"/>
  <c r="D5" i="2"/>
  <c r="R5" i="2" s="1"/>
  <c r="D4" i="2"/>
  <c r="R4" i="2" s="1"/>
  <c r="R53" i="1"/>
  <c r="S53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0" i="1"/>
  <c r="R30" i="1"/>
  <c r="S29" i="1"/>
  <c r="R29" i="1"/>
  <c r="S28" i="1"/>
  <c r="R28" i="1"/>
  <c r="S27" i="1"/>
  <c r="R27" i="1"/>
  <c r="S26" i="1"/>
  <c r="R26" i="1"/>
  <c r="R25" i="1"/>
  <c r="S24" i="1"/>
  <c r="R24" i="1"/>
  <c r="S13" i="1"/>
  <c r="R13" i="1"/>
  <c r="S14" i="1"/>
  <c r="R14" i="1"/>
  <c r="S15" i="1"/>
  <c r="R15" i="1"/>
  <c r="S16" i="1"/>
  <c r="R16" i="1"/>
  <c r="S17" i="1"/>
  <c r="R17" i="1"/>
  <c r="S18" i="1"/>
  <c r="R18" i="1"/>
  <c r="S19" i="1"/>
  <c r="R19" i="1"/>
  <c r="R8" i="1"/>
  <c r="S8" i="1"/>
  <c r="R7" i="1"/>
  <c r="S7" i="1"/>
  <c r="R6" i="1"/>
  <c r="S6" i="1"/>
  <c r="R5" i="1"/>
  <c r="S5" i="1"/>
  <c r="R4" i="1"/>
  <c r="S4" i="1"/>
  <c r="R3" i="1"/>
  <c r="S3" i="1"/>
  <c r="S9" i="1"/>
  <c r="R9" i="1"/>
  <c r="P53" i="1"/>
  <c r="P64" i="1"/>
  <c r="P63" i="1"/>
  <c r="Q62" i="1"/>
  <c r="P62" i="1"/>
  <c r="P61" i="1"/>
  <c r="P60" i="1"/>
  <c r="Q59" i="1"/>
  <c r="P59" i="1"/>
  <c r="P58" i="1"/>
  <c r="P52" i="1"/>
  <c r="P51" i="1"/>
  <c r="P50" i="1"/>
  <c r="P49" i="1"/>
  <c r="P48" i="1"/>
  <c r="P47" i="1"/>
  <c r="P46" i="1"/>
  <c r="P35" i="1"/>
  <c r="P36" i="1"/>
  <c r="P37" i="1"/>
  <c r="Q37" i="1"/>
  <c r="P38" i="1"/>
  <c r="P39" i="1"/>
  <c r="P40" i="1"/>
  <c r="P41" i="1"/>
  <c r="Q30" i="1"/>
  <c r="P30" i="1"/>
  <c r="P29" i="1"/>
  <c r="P28" i="1"/>
  <c r="P27" i="1"/>
  <c r="P26" i="1"/>
  <c r="Q25" i="1"/>
  <c r="P25" i="1"/>
  <c r="P24" i="1"/>
  <c r="P13" i="1"/>
  <c r="Q14" i="1"/>
  <c r="P14" i="1"/>
  <c r="Q15" i="1"/>
  <c r="P15" i="1"/>
  <c r="P16" i="1"/>
  <c r="P17" i="1"/>
  <c r="P18" i="1"/>
  <c r="Q19" i="1"/>
  <c r="P19" i="1"/>
  <c r="P8" i="1"/>
  <c r="Q8" i="1"/>
  <c r="P7" i="1"/>
  <c r="Q7" i="1"/>
  <c r="P6" i="1"/>
  <c r="Q6" i="1"/>
  <c r="P5" i="1"/>
  <c r="Q5" i="1"/>
  <c r="P4" i="1"/>
  <c r="Q4" i="1"/>
  <c r="P3" i="1"/>
  <c r="Q3" i="1"/>
  <c r="Q9" i="1"/>
  <c r="P9" i="1"/>
  <c r="C63" i="1"/>
  <c r="Q63" i="1" s="1"/>
  <c r="C61" i="1"/>
  <c r="Q61" i="1" s="1"/>
  <c r="C59" i="1"/>
  <c r="C64" i="1"/>
  <c r="Q64" i="1" s="1"/>
  <c r="C62" i="1"/>
  <c r="C60" i="1"/>
  <c r="Q60" i="1" s="1"/>
  <c r="C58" i="1"/>
  <c r="Q58" i="1" s="1"/>
  <c r="C53" i="1"/>
  <c r="Q53" i="1" s="1"/>
  <c r="C52" i="1"/>
  <c r="Q52" i="1" s="1"/>
  <c r="C51" i="1"/>
  <c r="Q51" i="1" s="1"/>
  <c r="C50" i="1"/>
  <c r="Q50" i="1" s="1"/>
  <c r="C49" i="1"/>
  <c r="Q49" i="1" s="1"/>
  <c r="C48" i="1"/>
  <c r="Q48" i="1" s="1"/>
  <c r="C47" i="1"/>
  <c r="Q47" i="1" s="1"/>
  <c r="C46" i="1"/>
  <c r="Q46" i="1" s="1"/>
  <c r="C41" i="1"/>
  <c r="Q41" i="1" s="1"/>
  <c r="C40" i="1"/>
  <c r="Q40" i="1" s="1"/>
  <c r="C39" i="1"/>
  <c r="Q39" i="1" s="1"/>
  <c r="C38" i="1"/>
  <c r="Q38" i="1" s="1"/>
  <c r="C37" i="1"/>
  <c r="C36" i="1"/>
  <c r="Q36" i="1" s="1"/>
  <c r="C35" i="1"/>
  <c r="Q35" i="1" s="1"/>
  <c r="D40" i="1"/>
  <c r="C29" i="1"/>
  <c r="Q29" i="1" s="1"/>
  <c r="C27" i="1"/>
  <c r="Q27" i="1" s="1"/>
  <c r="C25" i="1"/>
  <c r="C30" i="1"/>
  <c r="C28" i="1"/>
  <c r="Q28" i="1" s="1"/>
  <c r="C26" i="1"/>
  <c r="Q26" i="1" s="1"/>
  <c r="C24" i="1"/>
  <c r="Q24" i="1" s="1"/>
  <c r="Q16" i="1"/>
  <c r="Q18" i="1"/>
  <c r="Q13" i="1"/>
  <c r="Q17" i="1"/>
</calcChain>
</file>

<file path=xl/sharedStrings.xml><?xml version="1.0" encoding="utf-8"?>
<sst xmlns="http://schemas.openxmlformats.org/spreadsheetml/2006/main" count="989" uniqueCount="30">
  <si>
    <t>Error_Bound</t>
  </si>
  <si>
    <t>Data_Point</t>
  </si>
  <si>
    <t>CR</t>
  </si>
  <si>
    <t>BR</t>
  </si>
  <si>
    <t>PSNR</t>
  </si>
  <si>
    <t>NRMSE</t>
  </si>
  <si>
    <t>cmp_cTP</t>
  </si>
  <si>
    <t>cmp_xTP</t>
  </si>
  <si>
    <t>nsys_cmp_cTP</t>
  </si>
  <si>
    <t>nsys_cmp_xTP</t>
  </si>
  <si>
    <t>nvcomp_CR</t>
  </si>
  <si>
    <t>nvcomp_cTP</t>
  </si>
  <si>
    <t>nvcomp_xTP</t>
  </si>
  <si>
    <t>bitcomp_CR</t>
  </si>
  <si>
    <t>bitcomp_cTP</t>
  </si>
  <si>
    <t>bitcomp_xTP</t>
  </si>
  <si>
    <t>_overall</t>
  </si>
  <si>
    <t>CuSZ</t>
    <phoneticPr fontId="1" type="noConversion"/>
  </si>
  <si>
    <t>CuSZ-I</t>
    <phoneticPr fontId="1" type="noConversion"/>
  </si>
  <si>
    <t>CuSZp</t>
    <phoneticPr fontId="1" type="noConversion"/>
  </si>
  <si>
    <t>CuSZx</t>
    <phoneticPr fontId="1" type="noConversion"/>
  </si>
  <si>
    <t>Bit_Rate</t>
  </si>
  <si>
    <t>CuZFP</t>
    <phoneticPr fontId="1" type="noConversion"/>
  </si>
  <si>
    <t>FZ-GPU</t>
    <phoneticPr fontId="1" type="noConversion"/>
  </si>
  <si>
    <t>bitcomped_CR</t>
    <phoneticPr fontId="1" type="noConversion"/>
  </si>
  <si>
    <t>bitcomped_BR</t>
    <phoneticPr fontId="1" type="noConversion"/>
  </si>
  <si>
    <t>Bitcomped_cmp_Speed</t>
    <phoneticPr fontId="1" type="noConversion"/>
  </si>
  <si>
    <t>Bitcomped_dcmp_Speed</t>
    <phoneticPr fontId="1" type="noConversion"/>
  </si>
  <si>
    <t>fzgpu_miranda_theta.csv</t>
    <phoneticPr fontId="1" type="noConversion"/>
  </si>
  <si>
    <t>CuSZI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</si>
</sst>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cesm_theta_a100!$D$4:$D$10</c:f>
              <c:numCache>
                <c:formatCode>General</c:formatCode>
                <c:ptCount val="7"/>
                <c:pt idx="0">
                  <c:v>1.0709051479233447</c:v>
                </c:pt>
                <c:pt idx="1">
                  <c:v>1.1160140156257872</c:v>
                </c:pt>
                <c:pt idx="2">
                  <c:v>1.3312150018175719</c:v>
                </c:pt>
                <c:pt idx="3">
                  <c:v>1.5008813092592881</c:v>
                </c:pt>
                <c:pt idx="4">
                  <c:v>2.1407049248202465</c:v>
                </c:pt>
                <c:pt idx="5">
                  <c:v>2.5608782368831338</c:v>
                </c:pt>
                <c:pt idx="6">
                  <c:v>3.8664288862586376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35-4824-874E-2CA4593B32E0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cesm_theta_a100!$D$16:$D$22</c:f>
              <c:numCache>
                <c:formatCode>General</c:formatCode>
                <c:ptCount val="7"/>
                <c:pt idx="0">
                  <c:v>1.1612339905451996</c:v>
                </c:pt>
                <c:pt idx="1">
                  <c:v>1.2141465004297902</c:v>
                </c:pt>
                <c:pt idx="2">
                  <c:v>1.4454305356104746</c:v>
                </c:pt>
                <c:pt idx="3">
                  <c:v>1.6059648795967547</c:v>
                </c:pt>
                <c:pt idx="4">
                  <c:v>2.25894051115535</c:v>
                </c:pt>
                <c:pt idx="5">
                  <c:v>2.7394230877782668</c:v>
                </c:pt>
                <c:pt idx="6">
                  <c:v>4.4217896510765042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35-4824-874E-2CA4593B32E0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cesm_theta_a100!$D$27:$D$33</c:f>
              <c:numCache>
                <c:formatCode>General</c:formatCode>
                <c:ptCount val="7"/>
                <c:pt idx="0">
                  <c:v>1.8458242056109033</c:v>
                </c:pt>
                <c:pt idx="1">
                  <c:v>2.2987679575523594</c:v>
                </c:pt>
                <c:pt idx="2">
                  <c:v>3.5029956303993619</c:v>
                </c:pt>
                <c:pt idx="3">
                  <c:v>4.0876597902319318</c:v>
                </c:pt>
                <c:pt idx="4">
                  <c:v>5.5968588235722114</c:v>
                </c:pt>
                <c:pt idx="5">
                  <c:v>6.2763921440101074</c:v>
                </c:pt>
                <c:pt idx="6">
                  <c:v>7.9256330649182338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35-4824-874E-2CA4593B32E0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cesm_theta_a100!$D$49:$D$56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35-4824-874E-2CA4593B32E0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cesm_theta_a100!$D$61:$D$66</c:f>
              <c:numCache>
                <c:formatCode>General</c:formatCode>
                <c:ptCount val="6"/>
                <c:pt idx="0">
                  <c:v>0.92711626393965152</c:v>
                </c:pt>
                <c:pt idx="1">
                  <c:v>1.1566629881301762</c:v>
                </c:pt>
                <c:pt idx="2">
                  <c:v>1.7221973354218345</c:v>
                </c:pt>
                <c:pt idx="3">
                  <c:v>1.9960218610945795</c:v>
                </c:pt>
                <c:pt idx="4">
                  <c:v>2.7662896144203013</c:v>
                </c:pt>
                <c:pt idx="5">
                  <c:v>3.1779525042125325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35-4824-874E-2CA4593B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cesm_theta_a100!$A$2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cesm_theta_a100!$R$4:$R$10</c:f>
              <c:numCache>
                <c:formatCode>General</c:formatCode>
                <c:ptCount val="7"/>
                <c:pt idx="0">
                  <c:v>0.36854279724518724</c:v>
                </c:pt>
                <c:pt idx="1">
                  <c:v>0.49666999655722133</c:v>
                </c:pt>
                <c:pt idx="2">
                  <c:v>0.85818836127596576</c:v>
                </c:pt>
                <c:pt idx="3">
                  <c:v>1.0657636050572834</c:v>
                </c:pt>
                <c:pt idx="4">
                  <c:v>1.7625629263521689</c:v>
                </c:pt>
                <c:pt idx="5">
                  <c:v>2.1977227314467598</c:v>
                </c:pt>
                <c:pt idx="6">
                  <c:v>3.5234182326743877</c:v>
                </c:pt>
              </c:numCache>
            </c:numRef>
          </c:xVal>
          <c:yVal>
            <c:numRef>
              <c:f>cesm_theta_a100!$E$4:$E$10</c:f>
              <c:numCache>
                <c:formatCode>General</c:formatCode>
                <c:ptCount val="7"/>
                <c:pt idx="0">
                  <c:v>47.6795085812591</c:v>
                </c:pt>
                <c:pt idx="1">
                  <c:v>53.330830786481499</c:v>
                </c:pt>
                <c:pt idx="2">
                  <c:v>66.780560419301295</c:v>
                </c:pt>
                <c:pt idx="3">
                  <c:v>72.642072989302306</c:v>
                </c:pt>
                <c:pt idx="4">
                  <c:v>86.371313417974704</c:v>
                </c:pt>
                <c:pt idx="5">
                  <c:v>92.220416225734695</c:v>
                </c:pt>
                <c:pt idx="6">
                  <c:v>106.064391468869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F19-B382-F899FA2B689A}"/>
            </c:ext>
          </c:extLst>
        </c:ser>
        <c:ser>
          <c:idx val="1"/>
          <c:order val="1"/>
          <c:tx>
            <c:strRef>
              <c:f>cesm_theta_a100!$A$14</c:f>
              <c:strCache>
                <c:ptCount val="1"/>
                <c:pt idx="0">
                  <c:v>CuSZI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cesm_theta_a100!$R$16:$R$22</c:f>
              <c:numCache>
                <c:formatCode>General</c:formatCode>
                <c:ptCount val="7"/>
                <c:pt idx="0">
                  <c:v>0.28686214658094794</c:v>
                </c:pt>
                <c:pt idx="1">
                  <c:v>0.38958405467322038</c:v>
                </c:pt>
                <c:pt idx="2">
                  <c:v>0.74608912205441191</c:v>
                </c:pt>
                <c:pt idx="3">
                  <c:v>0.95935049055135535</c:v>
                </c:pt>
                <c:pt idx="4">
                  <c:v>1.7021711239934627</c:v>
                </c:pt>
                <c:pt idx="5">
                  <c:v>2.2090834311951628</c:v>
                </c:pt>
                <c:pt idx="6">
                  <c:v>3.8511318056389965</c:v>
                </c:pt>
              </c:numCache>
            </c:numRef>
          </c:xVal>
          <c:yVal>
            <c:numRef>
              <c:f>cesm_theta_a100!$E$16:$E$22</c:f>
              <c:numCache>
                <c:formatCode>General</c:formatCode>
                <c:ptCount val="7"/>
                <c:pt idx="0">
                  <c:v>51.907349552025501</c:v>
                </c:pt>
                <c:pt idx="1">
                  <c:v>56.794998422286703</c:v>
                </c:pt>
                <c:pt idx="2">
                  <c:v>69.213320412911202</c:v>
                </c:pt>
                <c:pt idx="3">
                  <c:v>74.609051598955702</c:v>
                </c:pt>
                <c:pt idx="4">
                  <c:v>87.652855637664402</c:v>
                </c:pt>
                <c:pt idx="5">
                  <c:v>93.1211254204173</c:v>
                </c:pt>
                <c:pt idx="6">
                  <c:v>106.35192087945499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F19-B382-F899FA2B689A}"/>
            </c:ext>
          </c:extLst>
        </c:ser>
        <c:ser>
          <c:idx val="2"/>
          <c:order val="2"/>
          <c:tx>
            <c:strRef>
              <c:f>cesm_theta_a100!$A$25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cesm_theta_a100!$R$27:$R$33</c:f>
              <c:numCache>
                <c:formatCode>General</c:formatCode>
                <c:ptCount val="7"/>
                <c:pt idx="0">
                  <c:v>0.50375406768376685</c:v>
                </c:pt>
                <c:pt idx="1">
                  <c:v>0.78769165698198385</c:v>
                </c:pt>
                <c:pt idx="2">
                  <c:v>1.8101025903356682</c:v>
                </c:pt>
                <c:pt idx="3">
                  <c:v>2.3974303102304759</c:v>
                </c:pt>
                <c:pt idx="4">
                  <c:v>3.9621838216474448</c:v>
                </c:pt>
                <c:pt idx="5">
                  <c:v>4.6633315309208623</c:v>
                </c:pt>
                <c:pt idx="6">
                  <c:v>6.2776703210066076</c:v>
                </c:pt>
              </c:numCache>
            </c:numRef>
          </c:xVal>
          <c:yVal>
            <c:numRef>
              <c:f>cesm_theta_a100!$E$27:$E$33</c:f>
              <c:numCache>
                <c:formatCode>General</c:formatCode>
                <c:ptCount val="7"/>
                <c:pt idx="0">
                  <c:v>47.679508697861102</c:v>
                </c:pt>
                <c:pt idx="1">
                  <c:v>53.3308308346122</c:v>
                </c:pt>
                <c:pt idx="2">
                  <c:v>66.780559996207103</c:v>
                </c:pt>
                <c:pt idx="3">
                  <c:v>72.642072438312695</c:v>
                </c:pt>
                <c:pt idx="4">
                  <c:v>86.371313467900094</c:v>
                </c:pt>
                <c:pt idx="5">
                  <c:v>92.220415427554997</c:v>
                </c:pt>
                <c:pt idx="6">
                  <c:v>106.06439292124099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F19-B382-F899FA2B689A}"/>
            </c:ext>
          </c:extLst>
        </c:ser>
        <c:ser>
          <c:idx val="3"/>
          <c:order val="3"/>
          <c:tx>
            <c:strRef>
              <c:f>cesm_theta_a100!$A$47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cesm_theta_a100!$R$49:$R$56</c:f>
              <c:numCache>
                <c:formatCode>General</c:formatCode>
                <c:ptCount val="8"/>
                <c:pt idx="0">
                  <c:v>0.24895777826664567</c:v>
                </c:pt>
                <c:pt idx="1">
                  <c:v>0.55936836384243271</c:v>
                </c:pt>
                <c:pt idx="2">
                  <c:v>1.8226646178498642</c:v>
                </c:pt>
                <c:pt idx="3">
                  <c:v>3.6607259176059892</c:v>
                </c:pt>
                <c:pt idx="4">
                  <c:v>5.4608732222367662</c:v>
                </c:pt>
                <c:pt idx="5">
                  <c:v>7.2473697573734395</c:v>
                </c:pt>
                <c:pt idx="6">
                  <c:v>10.810351662877181</c:v>
                </c:pt>
                <c:pt idx="7">
                  <c:v>14.318342046176779</c:v>
                </c:pt>
              </c:numCache>
            </c:numRef>
          </c:xVal>
          <c:yVal>
            <c:numRef>
              <c:f>cesm_theta_a100!$E$49:$E$56</c:f>
              <c:numCache>
                <c:formatCode>General</c:formatCode>
                <c:ptCount val="8"/>
                <c:pt idx="0">
                  <c:v>34.876011078593898</c:v>
                </c:pt>
                <c:pt idx="1">
                  <c:v>46.620533189293504</c:v>
                </c:pt>
                <c:pt idx="2">
                  <c:v>60.515745679018899</c:v>
                </c:pt>
                <c:pt idx="3">
                  <c:v>74.117993782956006</c:v>
                </c:pt>
                <c:pt idx="4">
                  <c:v>85.399675183576306</c:v>
                </c:pt>
                <c:pt idx="5">
                  <c:v>97.081184710164706</c:v>
                </c:pt>
                <c:pt idx="6">
                  <c:v>121.05712904265501</c:v>
                </c:pt>
                <c:pt idx="7">
                  <c:v>145.126338685485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F19-B382-F899FA2B689A}"/>
            </c:ext>
          </c:extLst>
        </c:ser>
        <c:ser>
          <c:idx val="4"/>
          <c:order val="4"/>
          <c:tx>
            <c:strRef>
              <c:f>cesm_theta_a100!$A$59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cesm_theta_a100!$R$61:$R$66</c:f>
              <c:numCache>
                <c:formatCode>General</c:formatCode>
                <c:ptCount val="6"/>
                <c:pt idx="0">
                  <c:v>0.436549011354808</c:v>
                </c:pt>
                <c:pt idx="1">
                  <c:v>0.62973290459315379</c:v>
                </c:pt>
                <c:pt idx="2">
                  <c:v>1.159079619554015</c:v>
                </c:pt>
                <c:pt idx="3">
                  <c:v>1.4157203234569502</c:v>
                </c:pt>
                <c:pt idx="4">
                  <c:v>2.1039414458284895</c:v>
                </c:pt>
                <c:pt idx="5">
                  <c:v>2.4560189835927693</c:v>
                </c:pt>
              </c:numCache>
            </c:numRef>
          </c:xVal>
          <c:yVal>
            <c:numRef>
              <c:f>cesm_theta_a100!$E$61:$E$66</c:f>
              <c:numCache>
                <c:formatCode>General</c:formatCode>
                <c:ptCount val="6"/>
                <c:pt idx="0">
                  <c:v>46.529807038716498</c:v>
                </c:pt>
                <c:pt idx="1">
                  <c:v>52.239856539897701</c:v>
                </c:pt>
                <c:pt idx="2">
                  <c:v>65.803229824852195</c:v>
                </c:pt>
                <c:pt idx="3">
                  <c:v>71.693130344679702</c:v>
                </c:pt>
                <c:pt idx="4">
                  <c:v>85.470156836745801</c:v>
                </c:pt>
                <c:pt idx="5">
                  <c:v>91.350694987637894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F19-B382-F899FA2B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0916976"/>
        <c:axId val="1086280848"/>
      </c:scatterChart>
      <c:valAx>
        <c:axId val="1090916976"/>
        <c:scaling>
          <c:orientation val="minMax"/>
          <c:max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280848"/>
        <c:crosses val="autoZero"/>
        <c:crossBetween val="midCat"/>
      </c:valAx>
      <c:valAx>
        <c:axId val="108628084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91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127487776899178E-2"/>
          <c:y val="7.6631770596267634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miranda!$C$3:$C$9</c:f>
              <c:numCache>
                <c:formatCode>General</c:formatCode>
                <c:ptCount val="7"/>
                <c:pt idx="0">
                  <c:v>1.1383548876606999</c:v>
                </c:pt>
                <c:pt idx="1">
                  <c:v>1.1916094850755701</c:v>
                </c:pt>
                <c:pt idx="2">
                  <c:v>1.36733551137173</c:v>
                </c:pt>
                <c:pt idx="3">
                  <c:v>1.4823582765816601</c:v>
                </c:pt>
                <c:pt idx="4">
                  <c:v>1.8417936484344599</c:v>
                </c:pt>
                <c:pt idx="5">
                  <c:v>2.0625674459199601</c:v>
                </c:pt>
                <c:pt idx="6">
                  <c:v>2.88763625659523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D5D-918A-C9BFE31CB9A1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miranda!$C$13:$C$19</c:f>
              <c:numCache>
                <c:formatCode>General</c:formatCode>
                <c:ptCount val="7"/>
                <c:pt idx="0">
                  <c:v>1.080552245</c:v>
                </c:pt>
                <c:pt idx="1">
                  <c:v>1.084222145</c:v>
                </c:pt>
                <c:pt idx="2">
                  <c:v>1.1064593899999999</c:v>
                </c:pt>
                <c:pt idx="3">
                  <c:v>1.124425241</c:v>
                </c:pt>
                <c:pt idx="4">
                  <c:v>1.226423832</c:v>
                </c:pt>
                <c:pt idx="5">
                  <c:v>1.3102427050000001</c:v>
                </c:pt>
                <c:pt idx="6">
                  <c:v>1.7124745320000001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61.857573170000002</c:v>
                </c:pt>
                <c:pt idx="1">
                  <c:v>65.609697449999999</c:v>
                </c:pt>
                <c:pt idx="2">
                  <c:v>76.007988299999994</c:v>
                </c:pt>
                <c:pt idx="3">
                  <c:v>80.103432530000006</c:v>
                </c:pt>
                <c:pt idx="4">
                  <c:v>91.340519689999994</c:v>
                </c:pt>
                <c:pt idx="5">
                  <c:v>95.840483079999998</c:v>
                </c:pt>
                <c:pt idx="6">
                  <c:v>108.1765846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B7-4D5D-918A-C9BFE31CB9A1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miranda!$C$24:$C$30</c:f>
              <c:numCache>
                <c:formatCode>General</c:formatCode>
                <c:ptCount val="7"/>
                <c:pt idx="0">
                  <c:v>1.9103792712588561</c:v>
                </c:pt>
                <c:pt idx="1">
                  <c:v>2.2803563038579049</c:v>
                </c:pt>
                <c:pt idx="2">
                  <c:v>3.348094214037225</c:v>
                </c:pt>
                <c:pt idx="3">
                  <c:v>3.9114691005098443</c:v>
                </c:pt>
                <c:pt idx="4">
                  <c:v>5.3522163762285686</c:v>
                </c:pt>
                <c:pt idx="5">
                  <c:v>5.9982205538778297</c:v>
                </c:pt>
                <c:pt idx="6">
                  <c:v>7.5955360002587167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B7-4D5D-918A-C9BFE31CB9A1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miranda!$C$35:$C$39</c:f>
              <c:numCache>
                <c:formatCode>General</c:formatCode>
                <c:ptCount val="5"/>
                <c:pt idx="0">
                  <c:v>4.0422399271319067</c:v>
                </c:pt>
                <c:pt idx="1">
                  <c:v>4.6820880646894354</c:v>
                </c:pt>
                <c:pt idx="2">
                  <c:v>6.2939303683351184</c:v>
                </c:pt>
                <c:pt idx="3">
                  <c:v>7.0641485686101788</c:v>
                </c:pt>
                <c:pt idx="4">
                  <c:v>8.8989270122028135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B7-4D5D-918A-C9BFE31CB9A1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6.0000000000000036</c:v>
                </c:pt>
                <c:pt idx="5">
                  <c:v>8</c:v>
                </c:pt>
                <c:pt idx="6">
                  <c:v>12.00000000000003</c:v>
                </c:pt>
                <c:pt idx="7">
                  <c:v>16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B7-4D5D-918A-C9BFE31CB9A1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miranda!$C$58:$C$63</c:f>
              <c:numCache>
                <c:formatCode>General</c:formatCode>
                <c:ptCount val="6"/>
                <c:pt idx="0">
                  <c:v>1.0459570396751607</c:v>
                </c:pt>
                <c:pt idx="1">
                  <c:v>1.1834552202848241</c:v>
                </c:pt>
                <c:pt idx="2">
                  <c:v>1.6676810246713802</c:v>
                </c:pt>
                <c:pt idx="3">
                  <c:v>1.9504060039010778</c:v>
                </c:pt>
                <c:pt idx="4">
                  <c:v>2.7126532758185116</c:v>
                </c:pt>
                <c:pt idx="5">
                  <c:v>3.058893087612006</c:v>
                </c:pt>
              </c:numCache>
            </c:numRef>
          </c:xVal>
          <c:yVal>
            <c:numRef>
              <c:f>miranda!$D$58:$D$63</c:f>
              <c:numCache>
                <c:formatCode>General</c:formatCode>
                <c:ptCount val="6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B7-4D5D-918A-C9BFE31C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miranda!$H$3:$H$9</c:f>
              <c:numCache>
                <c:formatCode>General</c:formatCode>
                <c:ptCount val="7"/>
                <c:pt idx="0">
                  <c:v>55.4885286974473</c:v>
                </c:pt>
                <c:pt idx="1">
                  <c:v>55.475315077022003</c:v>
                </c:pt>
                <c:pt idx="2">
                  <c:v>55.153173952849301</c:v>
                </c:pt>
                <c:pt idx="3">
                  <c:v>54.957653741657097</c:v>
                </c:pt>
                <c:pt idx="4">
                  <c:v>54.3859410333257</c:v>
                </c:pt>
                <c:pt idx="5">
                  <c:v>54.079525308648797</c:v>
                </c:pt>
                <c:pt idx="6">
                  <c:v>52.7408771400086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C-4F7E-8149-56171A6DF585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miranda!$H$13:$H$19</c:f>
              <c:numCache>
                <c:formatCode>General</c:formatCode>
                <c:ptCount val="7"/>
                <c:pt idx="0">
                  <c:v>41.805308959999998</c:v>
                </c:pt>
                <c:pt idx="1">
                  <c:v>41.808593930000001</c:v>
                </c:pt>
                <c:pt idx="2">
                  <c:v>41.756857549999999</c:v>
                </c:pt>
                <c:pt idx="3">
                  <c:v>41.724297780000001</c:v>
                </c:pt>
                <c:pt idx="4">
                  <c:v>41.604483969999997</c:v>
                </c:pt>
                <c:pt idx="5">
                  <c:v>41.548227500000003</c:v>
                </c:pt>
                <c:pt idx="6">
                  <c:v>41.339285269999998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1C-4F7E-8149-56171A6DF585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miranda!$H$24:$H$30</c:f>
              <c:numCache>
                <c:formatCode>General</c:formatCode>
                <c:ptCount val="7"/>
                <c:pt idx="0">
                  <c:v>63.751892714057</c:v>
                </c:pt>
                <c:pt idx="1">
                  <c:v>61.644923653100797</c:v>
                </c:pt>
                <c:pt idx="2">
                  <c:v>57.125693509746199</c:v>
                </c:pt>
                <c:pt idx="3">
                  <c:v>55.053735493692102</c:v>
                </c:pt>
                <c:pt idx="4">
                  <c:v>51.322756678654699</c:v>
                </c:pt>
                <c:pt idx="5">
                  <c:v>49.290281559557599</c:v>
                </c:pt>
                <c:pt idx="6">
                  <c:v>45.818986959160803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1C-4F7E-8149-56171A6DF585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miranda!$H$35:$H$41</c:f>
              <c:numCache>
                <c:formatCode>General</c:formatCode>
                <c:ptCount val="7"/>
                <c:pt idx="0">
                  <c:v>245.00273835351999</c:v>
                </c:pt>
                <c:pt idx="1">
                  <c:v>237.11259943814801</c:v>
                </c:pt>
                <c:pt idx="2">
                  <c:v>221.21206748122901</c:v>
                </c:pt>
                <c:pt idx="3">
                  <c:v>217.26824964890801</c:v>
                </c:pt>
                <c:pt idx="4">
                  <c:v>211.85771864017099</c:v>
                </c:pt>
                <c:pt idx="5">
                  <c:v>210.30869185761799</c:v>
                </c:pt>
                <c:pt idx="6">
                  <c:v>204.580836178846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1C-4F7E-8149-56171A6DF585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miranda!$H$47:$H$53</c:f>
              <c:numCache>
                <c:formatCode>General</c:formatCode>
                <c:ptCount val="7"/>
                <c:pt idx="0">
                  <c:v>299.91037807183602</c:v>
                </c:pt>
                <c:pt idx="1">
                  <c:v>210.13702641353001</c:v>
                </c:pt>
                <c:pt idx="2">
                  <c:v>121.995730284085</c:v>
                </c:pt>
                <c:pt idx="3">
                  <c:v>101.225756619762</c:v>
                </c:pt>
                <c:pt idx="4">
                  <c:v>88.608560264807096</c:v>
                </c:pt>
                <c:pt idx="5">
                  <c:v>77.547773220153601</c:v>
                </c:pt>
                <c:pt idx="6">
                  <c:v>85.768832411371207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01C-4F7E-8149-56171A6DF585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miranda!$H$58:$H$64</c:f>
              <c:numCache>
                <c:formatCode>General</c:formatCode>
                <c:ptCount val="7"/>
                <c:pt idx="0">
                  <c:v>155.34545853840601</c:v>
                </c:pt>
                <c:pt idx="1">
                  <c:v>155.211398804938</c:v>
                </c:pt>
                <c:pt idx="2">
                  <c:v>155.00928095003499</c:v>
                </c:pt>
                <c:pt idx="3">
                  <c:v>154.87759589886599</c:v>
                </c:pt>
                <c:pt idx="4">
                  <c:v>154.68614289256999</c:v>
                </c:pt>
                <c:pt idx="5">
                  <c:v>154.6131462948</c:v>
                </c:pt>
                <c:pt idx="6">
                  <c:v>154.353646583472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1C-4F7E-8149-56171A6D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miranda!$A$3:$A$9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miranda!$I$3:$I$9</c:f>
              <c:numCache>
                <c:formatCode>General</c:formatCode>
                <c:ptCount val="7"/>
                <c:pt idx="0">
                  <c:v>44.216645926241497</c:v>
                </c:pt>
                <c:pt idx="1">
                  <c:v>43.616738585617398</c:v>
                </c:pt>
                <c:pt idx="2">
                  <c:v>42.212984418649903</c:v>
                </c:pt>
                <c:pt idx="3">
                  <c:v>41.341368681954798</c:v>
                </c:pt>
                <c:pt idx="4">
                  <c:v>39.292887048811899</c:v>
                </c:pt>
                <c:pt idx="5">
                  <c:v>38.190568458426903</c:v>
                </c:pt>
                <c:pt idx="6">
                  <c:v>36.981534942648501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7-48EA-837D-C8AA16C2DD02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miranda!$I$13:$I$19</c:f>
              <c:numCache>
                <c:formatCode>General</c:formatCode>
                <c:ptCount val="7"/>
                <c:pt idx="0">
                  <c:v>46.95829457</c:v>
                </c:pt>
                <c:pt idx="1">
                  <c:v>46.626238360000002</c:v>
                </c:pt>
                <c:pt idx="2">
                  <c:v>44.16853991</c:v>
                </c:pt>
                <c:pt idx="3">
                  <c:v>42.065698400000002</c:v>
                </c:pt>
                <c:pt idx="4">
                  <c:v>37.424676920000003</c:v>
                </c:pt>
                <c:pt idx="5">
                  <c:v>35.74967565</c:v>
                </c:pt>
                <c:pt idx="6">
                  <c:v>34.265123889999998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7-48EA-837D-C8AA16C2DD02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miranda!$I$24:$I$30</c:f>
              <c:numCache>
                <c:formatCode>General</c:formatCode>
                <c:ptCount val="7"/>
                <c:pt idx="0">
                  <c:v>98.278074295035097</c:v>
                </c:pt>
                <c:pt idx="1">
                  <c:v>86.705768115601401</c:v>
                </c:pt>
                <c:pt idx="2">
                  <c:v>67.1468313721942</c:v>
                </c:pt>
                <c:pt idx="3">
                  <c:v>61.130828023917303</c:v>
                </c:pt>
                <c:pt idx="4">
                  <c:v>50.889602990528303</c:v>
                </c:pt>
                <c:pt idx="5">
                  <c:v>47.564464932860801</c:v>
                </c:pt>
                <c:pt idx="6">
                  <c:v>41.141282259915201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7-48EA-837D-C8AA16C2DD02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miranda!$I$35:$I$41</c:f>
              <c:numCache>
                <c:formatCode>General</c:formatCode>
                <c:ptCount val="7"/>
                <c:pt idx="0">
                  <c:v>439.392858535816</c:v>
                </c:pt>
                <c:pt idx="1">
                  <c:v>410.76223400448998</c:v>
                </c:pt>
                <c:pt idx="2">
                  <c:v>346.41491149171401</c:v>
                </c:pt>
                <c:pt idx="3">
                  <c:v>322.97090086754798</c:v>
                </c:pt>
                <c:pt idx="4">
                  <c:v>274.62514437674798</c:v>
                </c:pt>
                <c:pt idx="5">
                  <c:v>288.17284779376098</c:v>
                </c:pt>
                <c:pt idx="6">
                  <c:v>260.21651946672603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7-48EA-837D-C8AA16C2DD02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miranda!$I$47:$I$53</c:f>
              <c:numCache>
                <c:formatCode>General</c:formatCode>
                <c:ptCount val="7"/>
                <c:pt idx="0">
                  <c:v>338.51366861670499</c:v>
                </c:pt>
                <c:pt idx="1">
                  <c:v>247.32279772147899</c:v>
                </c:pt>
                <c:pt idx="2">
                  <c:v>188.74677950711501</c:v>
                </c:pt>
                <c:pt idx="3">
                  <c:v>164.51231103706999</c:v>
                </c:pt>
                <c:pt idx="4">
                  <c:v>147.99449711971801</c:v>
                </c:pt>
                <c:pt idx="5">
                  <c:v>131.96029735576499</c:v>
                </c:pt>
                <c:pt idx="6">
                  <c:v>126.125004461752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7-48EA-837D-C8AA16C2DD02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miranda!$I$58:$I$64</c:f>
              <c:numCache>
                <c:formatCode>General</c:formatCode>
                <c:ptCount val="7"/>
                <c:pt idx="0">
                  <c:v>125.288617077379</c:v>
                </c:pt>
                <c:pt idx="1">
                  <c:v>124.977193280058</c:v>
                </c:pt>
                <c:pt idx="2">
                  <c:v>124.395008442102</c:v>
                </c:pt>
                <c:pt idx="3">
                  <c:v>124.143686957101</c:v>
                </c:pt>
                <c:pt idx="4">
                  <c:v>123.778530128246</c:v>
                </c:pt>
                <c:pt idx="5">
                  <c:v>123.75879997275401</c:v>
                </c:pt>
                <c:pt idx="6">
                  <c:v>123.49285633960299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7-48EA-837D-C8AA16C2D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miranda!$A$1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miranda!$Q$3:$Q$9</c:f>
              <c:numCache>
                <c:formatCode>General</c:formatCode>
                <c:ptCount val="7"/>
                <c:pt idx="0">
                  <c:v>0.74690323153483917</c:v>
                </c:pt>
                <c:pt idx="1">
                  <c:v>0.85543444817321546</c:v>
                </c:pt>
                <c:pt idx="2">
                  <c:v>1.1234808518710602</c:v>
                </c:pt>
                <c:pt idx="3">
                  <c:v>1.2626785458000291</c:v>
                </c:pt>
                <c:pt idx="4">
                  <c:v>1.6837915474689293</c:v>
                </c:pt>
                <c:pt idx="5">
                  <c:v>1.9284789822674657</c:v>
                </c:pt>
                <c:pt idx="6">
                  <c:v>2.7809638327498583</c:v>
                </c:pt>
              </c:numCache>
            </c:numRef>
          </c:xVal>
          <c:yVal>
            <c:numRef>
              <c:f>miranda!$D$3:$D$9</c:f>
              <c:numCache>
                <c:formatCode>General</c:formatCode>
                <c:ptCount val="7"/>
                <c:pt idx="0">
                  <c:v>45.353346380851598</c:v>
                </c:pt>
                <c:pt idx="1">
                  <c:v>52.131830118447702</c:v>
                </c:pt>
                <c:pt idx="2">
                  <c:v>66.169708655036999</c:v>
                </c:pt>
                <c:pt idx="3">
                  <c:v>71.896566497249793</c:v>
                </c:pt>
                <c:pt idx="4">
                  <c:v>85.100552650677798</c:v>
                </c:pt>
                <c:pt idx="5">
                  <c:v>91.098161785221095</c:v>
                </c:pt>
                <c:pt idx="6">
                  <c:v>105.087183562188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0-408A-82C9-8E46DD4100CA}"/>
            </c:ext>
          </c:extLst>
        </c:ser>
        <c:ser>
          <c:idx val="1"/>
          <c:order val="1"/>
          <c:tx>
            <c:strRef>
              <c:f>miranda!$A$11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miranda!$Q$13:$Q$19</c:f>
              <c:numCache>
                <c:formatCode>General</c:formatCode>
                <c:ptCount val="7"/>
                <c:pt idx="0">
                  <c:v>0.12698434167086431</c:v>
                </c:pt>
                <c:pt idx="1">
                  <c:v>0.14146211659468944</c:v>
                </c:pt>
                <c:pt idx="2">
                  <c:v>0.22794018221538237</c:v>
                </c:pt>
                <c:pt idx="3">
                  <c:v>0.28320470895650374</c:v>
                </c:pt>
                <c:pt idx="4">
                  <c:v>0.54167405252239331</c:v>
                </c:pt>
                <c:pt idx="5">
                  <c:v>0.71533872831621126</c:v>
                </c:pt>
                <c:pt idx="6">
                  <c:v>1.2999357570924248</c:v>
                </c:pt>
              </c:numCache>
            </c:numRef>
          </c:xVal>
          <c:yVal>
            <c:numRef>
              <c:f>miranda!$D$13:$D$19</c:f>
              <c:numCache>
                <c:formatCode>General</c:formatCode>
                <c:ptCount val="7"/>
                <c:pt idx="0">
                  <c:v>61.857573170000002</c:v>
                </c:pt>
                <c:pt idx="1">
                  <c:v>65.609697449999999</c:v>
                </c:pt>
                <c:pt idx="2">
                  <c:v>76.007988299999994</c:v>
                </c:pt>
                <c:pt idx="3">
                  <c:v>80.103432530000006</c:v>
                </c:pt>
                <c:pt idx="4">
                  <c:v>91.340519689999994</c:v>
                </c:pt>
                <c:pt idx="5">
                  <c:v>95.840483079999998</c:v>
                </c:pt>
                <c:pt idx="6">
                  <c:v>108.1765846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00-408A-82C9-8E46DD4100CA}"/>
            </c:ext>
          </c:extLst>
        </c:ser>
        <c:ser>
          <c:idx val="2"/>
          <c:order val="2"/>
          <c:tx>
            <c:strRef>
              <c:f>miranda!$A$22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miranda!$Q$24:$Q$30</c:f>
              <c:numCache>
                <c:formatCode>General</c:formatCode>
                <c:ptCount val="7"/>
                <c:pt idx="0">
                  <c:v>1.7139136959433321</c:v>
                </c:pt>
                <c:pt idx="1">
                  <c:v>2.0458418700478034</c:v>
                </c:pt>
                <c:pt idx="2">
                  <c:v>3.003772400108649</c:v>
                </c:pt>
                <c:pt idx="3">
                  <c:v>3.509209173006457</c:v>
                </c:pt>
                <c:pt idx="4">
                  <c:v>4.8017883615464338</c:v>
                </c:pt>
                <c:pt idx="5">
                  <c:v>5.3813567354118419</c:v>
                </c:pt>
                <c:pt idx="6">
                  <c:v>6.8144024460104715</c:v>
                </c:pt>
              </c:numCache>
            </c:numRef>
          </c:xVal>
          <c:yVal>
            <c:numRef>
              <c:f>miranda!$D$24:$D$30</c:f>
              <c:numCache>
                <c:formatCode>General</c:formatCode>
                <c:ptCount val="7"/>
                <c:pt idx="0">
                  <c:v>49.8986658626755</c:v>
                </c:pt>
                <c:pt idx="1">
                  <c:v>55.142775693394299</c:v>
                </c:pt>
                <c:pt idx="2">
                  <c:v>67.691765009836104</c:v>
                </c:pt>
                <c:pt idx="3">
                  <c:v>73.388278251673995</c:v>
                </c:pt>
                <c:pt idx="4">
                  <c:v>86.877605680829902</c:v>
                </c:pt>
                <c:pt idx="5">
                  <c:v>92.230073227674794</c:v>
                </c:pt>
                <c:pt idx="6">
                  <c:v>106.417528300494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00-408A-82C9-8E46DD4100CA}"/>
            </c:ext>
          </c:extLst>
        </c:ser>
        <c:ser>
          <c:idx val="3"/>
          <c:order val="3"/>
          <c:tx>
            <c:strRef>
              <c:f>miranda!$A$33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miranda!$Q$35:$Q$41</c:f>
              <c:numCache>
                <c:formatCode>General</c:formatCode>
                <c:ptCount val="7"/>
                <c:pt idx="0">
                  <c:v>3.9370187136139254</c:v>
                </c:pt>
                <c:pt idx="1">
                  <c:v>4.5524183752013663</c:v>
                </c:pt>
                <c:pt idx="2">
                  <c:v>6.1514132707838955</c:v>
                </c:pt>
                <c:pt idx="3">
                  <c:v>6.8830686156643672</c:v>
                </c:pt>
                <c:pt idx="4">
                  <c:v>8.7418240522200001</c:v>
                </c:pt>
                <c:pt idx="5">
                  <c:v>9.3882164324012045</c:v>
                </c:pt>
                <c:pt idx="6">
                  <c:v>10.731537306361252</c:v>
                </c:pt>
              </c:numCache>
            </c:numRef>
          </c:xVal>
          <c:yVal>
            <c:numRef>
              <c:f>miranda!$D$35:$D$39</c:f>
              <c:numCache>
                <c:formatCode>General</c:formatCode>
                <c:ptCount val="5"/>
                <c:pt idx="0">
                  <c:v>67.980909106135201</c:v>
                </c:pt>
                <c:pt idx="1">
                  <c:v>73.792961443606302</c:v>
                </c:pt>
                <c:pt idx="2">
                  <c:v>86.748830363252296</c:v>
                </c:pt>
                <c:pt idx="3">
                  <c:v>92.932330884078297</c:v>
                </c:pt>
                <c:pt idx="4">
                  <c:v>109.51915983108201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00-408A-82C9-8E46DD4100CA}"/>
            </c:ext>
          </c:extLst>
        </c:ser>
        <c:ser>
          <c:idx val="4"/>
          <c:order val="4"/>
          <c:tx>
            <c:strRef>
              <c:f>miranda!$A$44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miranda!$Q$46:$Q$53</c:f>
              <c:numCache>
                <c:formatCode>General</c:formatCode>
                <c:ptCount val="8"/>
                <c:pt idx="0">
                  <c:v>0.40014638233403882</c:v>
                </c:pt>
                <c:pt idx="1">
                  <c:v>0.84568081442383503</c:v>
                </c:pt>
                <c:pt idx="2">
                  <c:v>1.9092823753018071</c:v>
                </c:pt>
                <c:pt idx="3">
                  <c:v>3.7902350813743282</c:v>
                </c:pt>
                <c:pt idx="4">
                  <c:v>5.596371882086193</c:v>
                </c:pt>
                <c:pt idx="5">
                  <c:v>7.3962264150943708</c:v>
                </c:pt>
                <c:pt idx="6">
                  <c:v>10.976958525345699</c:v>
                </c:pt>
                <c:pt idx="7">
                  <c:v>14.148344935911169</c:v>
                </c:pt>
              </c:numCache>
            </c:numRef>
          </c:xVal>
          <c:yVal>
            <c:numRef>
              <c:f>miranda!$D$46:$D$53</c:f>
              <c:numCache>
                <c:formatCode>General</c:formatCode>
                <c:ptCount val="8"/>
                <c:pt idx="0">
                  <c:v>45.1463892857806</c:v>
                </c:pt>
                <c:pt idx="1">
                  <c:v>57.821201597906899</c:v>
                </c:pt>
                <c:pt idx="2">
                  <c:v>70.653417010331694</c:v>
                </c:pt>
                <c:pt idx="3">
                  <c:v>86.421744079368295</c:v>
                </c:pt>
                <c:pt idx="4">
                  <c:v>99.383268941151002</c:v>
                </c:pt>
                <c:pt idx="5">
                  <c:v>111.510203615869</c:v>
                </c:pt>
                <c:pt idx="6">
                  <c:v>135.47987350781301</c:v>
                </c:pt>
                <c:pt idx="7">
                  <c:v>159.49674004748499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D00-408A-82C9-8E46DD4100CA}"/>
            </c:ext>
          </c:extLst>
        </c:ser>
        <c:ser>
          <c:idx val="5"/>
          <c:order val="5"/>
          <c:tx>
            <c:strRef>
              <c:f>miranda!$A$56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miranda!$Q$58:$Q$63</c:f>
              <c:numCache>
                <c:formatCode>General</c:formatCode>
                <c:ptCount val="6"/>
                <c:pt idx="0">
                  <c:v>0.72813861714187</c:v>
                </c:pt>
                <c:pt idx="1">
                  <c:v>0.81949362003674242</c:v>
                </c:pt>
                <c:pt idx="2">
                  <c:v>1.1787714077993732</c:v>
                </c:pt>
                <c:pt idx="3">
                  <c:v>1.3995554379209798</c:v>
                </c:pt>
                <c:pt idx="4">
                  <c:v>2.0742006972318165</c:v>
                </c:pt>
                <c:pt idx="5">
                  <c:v>2.4183443205281345</c:v>
                </c:pt>
              </c:numCache>
            </c:numRef>
          </c:xVal>
          <c:yVal>
            <c:numRef>
              <c:f>miranda!$D$58:$D$63</c:f>
              <c:numCache>
                <c:formatCode>General</c:formatCode>
                <c:ptCount val="6"/>
                <c:pt idx="0">
                  <c:v>49.898665643142799</c:v>
                </c:pt>
                <c:pt idx="1">
                  <c:v>55.142775471938798</c:v>
                </c:pt>
                <c:pt idx="2">
                  <c:v>67.6918024671604</c:v>
                </c:pt>
                <c:pt idx="3">
                  <c:v>73.388401862415193</c:v>
                </c:pt>
                <c:pt idx="4">
                  <c:v>86.876287644694401</c:v>
                </c:pt>
                <c:pt idx="5">
                  <c:v>92.225731089715893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00-408A-82C9-8E46DD410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jhtdb!$C$3:$C$9</c:f>
              <c:numCache>
                <c:formatCode>General</c:formatCode>
                <c:ptCount val="7"/>
                <c:pt idx="0">
                  <c:v>1.20288952171694</c:v>
                </c:pt>
                <c:pt idx="1">
                  <c:v>1.3514368793545199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6-4143-A48D-11694806F0F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jhtdb!$C$13:$C$19</c:f>
              <c:numCache>
                <c:formatCode>General</c:formatCode>
                <c:ptCount val="7"/>
                <c:pt idx="0">
                  <c:v>1.0917027944307001</c:v>
                </c:pt>
                <c:pt idx="1">
                  <c:v>1.1093174256138001</c:v>
                </c:pt>
                <c:pt idx="2">
                  <c:v>1.2676696560379299</c:v>
                </c:pt>
                <c:pt idx="3">
                  <c:v>1.43641528768171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C6-4143-A48D-11694806F0F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jhtdb!$C$24:$C$30</c:f>
              <c:numCache>
                <c:formatCode>General</c:formatCode>
                <c:ptCount val="7"/>
                <c:pt idx="0">
                  <c:v>3.1211181312269098</c:v>
                </c:pt>
                <c:pt idx="1">
                  <c:v>3.8884129982444602</c:v>
                </c:pt>
                <c:pt idx="2">
                  <c:v>5.9542616684840404</c:v>
                </c:pt>
                <c:pt idx="3">
                  <c:v>6.9168827838951001</c:v>
                </c:pt>
                <c:pt idx="4">
                  <c:v>9.21013949245555</c:v>
                </c:pt>
                <c:pt idx="5">
                  <c:v>10.206109694732801</c:v>
                </c:pt>
                <c:pt idx="6">
                  <c:v>12.523252674551401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C6-4143-A48D-11694806F0F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jhtdb!$C$35:$C$39</c:f>
              <c:numCache>
                <c:formatCode>General</c:formatCode>
                <c:ptCount val="5"/>
                <c:pt idx="0">
                  <c:v>10.644285232405499</c:v>
                </c:pt>
                <c:pt idx="1">
                  <c:v>11.4399478170126</c:v>
                </c:pt>
                <c:pt idx="2">
                  <c:v>13.0114151678642</c:v>
                </c:pt>
                <c:pt idx="3">
                  <c:v>14.1775992144733</c:v>
                </c:pt>
                <c:pt idx="4">
                  <c:v>17.729192414352699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C6-4143-A48D-11694806F0F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C6-4143-A48D-11694806F0F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jhtdb!$C$58:$C$64</c:f>
              <c:numCache>
                <c:formatCode>General</c:formatCode>
                <c:ptCount val="7"/>
                <c:pt idx="0">
                  <c:v>2.6413494185916599</c:v>
                </c:pt>
                <c:pt idx="1">
                  <c:v>2.8429701321958398</c:v>
                </c:pt>
                <c:pt idx="2">
                  <c:v>3.2340550283670102</c:v>
                </c:pt>
                <c:pt idx="3">
                  <c:v>3.53013125668011</c:v>
                </c:pt>
                <c:pt idx="4">
                  <c:v>5.0200176242959804</c:v>
                </c:pt>
                <c:pt idx="5">
                  <c:v>5.9187928519861002</c:v>
                </c:pt>
                <c:pt idx="6">
                  <c:v>8.1704979852294404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64.845060849640006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C6-4143-A48D-11694806F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jhtdb!$H$3:$H$9</c:f>
              <c:numCache>
                <c:formatCode>General</c:formatCode>
                <c:ptCount val="7"/>
                <c:pt idx="0">
                  <c:v>130.344865196461</c:v>
                </c:pt>
                <c:pt idx="1">
                  <c:v>128.119255181591</c:v>
                </c:pt>
                <c:pt idx="2">
                  <c:v>120.729392722432</c:v>
                </c:pt>
                <c:pt idx="3">
                  <c:v>119.821666922684</c:v>
                </c:pt>
                <c:pt idx="4">
                  <c:v>116.203392391593</c:v>
                </c:pt>
                <c:pt idx="5">
                  <c:v>115.880832244169</c:v>
                </c:pt>
                <c:pt idx="6">
                  <c:v>115.05491390917101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7B-4A37-BBE6-63D163DC934B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jhtdb!$H$13:$H$19</c:f>
              <c:numCache>
                <c:formatCode>General</c:formatCode>
                <c:ptCount val="7"/>
                <c:pt idx="0">
                  <c:v>83.585809757528395</c:v>
                </c:pt>
                <c:pt idx="1">
                  <c:v>75.6002858804721</c:v>
                </c:pt>
                <c:pt idx="2">
                  <c:v>71.704577590866705</c:v>
                </c:pt>
                <c:pt idx="3">
                  <c:v>73.716234461923904</c:v>
                </c:pt>
                <c:pt idx="4">
                  <c:v>74.800570223901602</c:v>
                </c:pt>
                <c:pt idx="5">
                  <c:v>70.3218463134573</c:v>
                </c:pt>
                <c:pt idx="6">
                  <c:v>72.370177843804797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7B-4A37-BBE6-63D163DC934B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jhtdb!$H$24:$H$30</c:f>
              <c:numCache>
                <c:formatCode>General</c:formatCode>
                <c:ptCount val="7"/>
                <c:pt idx="0">
                  <c:v>154.60029202791901</c:v>
                </c:pt>
                <c:pt idx="1">
                  <c:v>125.235766881827</c:v>
                </c:pt>
                <c:pt idx="2">
                  <c:v>106.39667113533299</c:v>
                </c:pt>
                <c:pt idx="3">
                  <c:v>92.724139488567602</c:v>
                </c:pt>
                <c:pt idx="4">
                  <c:v>67.143259950311105</c:v>
                </c:pt>
                <c:pt idx="5">
                  <c:v>63.087273651736098</c:v>
                </c:pt>
                <c:pt idx="6">
                  <c:v>63.376524106961099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7B-4A37-BBE6-63D163DC934B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jhtdb!$H$35:$H$41</c:f>
              <c:numCache>
                <c:formatCode>General</c:formatCode>
                <c:ptCount val="7"/>
                <c:pt idx="0">
                  <c:v>200.34337591051201</c:v>
                </c:pt>
                <c:pt idx="1">
                  <c:v>162.56607590600001</c:v>
                </c:pt>
                <c:pt idx="2">
                  <c:v>176.371678374315</c:v>
                </c:pt>
                <c:pt idx="3">
                  <c:v>160.929202551618</c:v>
                </c:pt>
                <c:pt idx="4">
                  <c:v>186.628066891223</c:v>
                </c:pt>
                <c:pt idx="5">
                  <c:v>168.59727026116701</c:v>
                </c:pt>
                <c:pt idx="6">
                  <c:v>180.59673846268399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7B-4A37-BBE6-63D163DC934B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jhtdb!$H$47:$H$53</c:f>
              <c:numCache>
                <c:formatCode>General</c:formatCode>
                <c:ptCount val="7"/>
                <c:pt idx="0">
                  <c:v>387.69875404396402</c:v>
                </c:pt>
                <c:pt idx="1">
                  <c:v>230.39051501571799</c:v>
                </c:pt>
                <c:pt idx="2">
                  <c:v>105.81141246532</c:v>
                </c:pt>
                <c:pt idx="3">
                  <c:v>96.102278996744403</c:v>
                </c:pt>
                <c:pt idx="4">
                  <c:v>91.830857723239106</c:v>
                </c:pt>
                <c:pt idx="5">
                  <c:v>94.301790792795302</c:v>
                </c:pt>
                <c:pt idx="6">
                  <c:v>79.421783869129499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B-4A37-BBE6-63D163DC934B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jhtdb!$H$58:$H$64</c:f>
              <c:numCache>
                <c:formatCode>General</c:formatCode>
                <c:ptCount val="7"/>
                <c:pt idx="0">
                  <c:v>185.733035714327</c:v>
                </c:pt>
                <c:pt idx="1">
                  <c:v>170.57390416783099</c:v>
                </c:pt>
                <c:pt idx="2">
                  <c:v>174.41526220821601</c:v>
                </c:pt>
                <c:pt idx="3">
                  <c:v>163.537542389842</c:v>
                </c:pt>
                <c:pt idx="4">
                  <c:v>171.91271194889401</c:v>
                </c:pt>
                <c:pt idx="5">
                  <c:v>167.33324603094599</c:v>
                </c:pt>
                <c:pt idx="6">
                  <c:v>176.16696473979999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7B-4A37-BBE6-63D163DC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jhtdb!$A$3:$A$9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jhtdb!$I$3:$I$9</c:f>
              <c:numCache>
                <c:formatCode>General</c:formatCode>
                <c:ptCount val="7"/>
                <c:pt idx="0">
                  <c:v>71.007649807539707</c:v>
                </c:pt>
                <c:pt idx="1">
                  <c:v>70.484702276139501</c:v>
                </c:pt>
                <c:pt idx="2">
                  <c:v>65.239340748964807</c:v>
                </c:pt>
                <c:pt idx="3">
                  <c:v>59.760514540155697</c:v>
                </c:pt>
                <c:pt idx="4">
                  <c:v>53.8473644656126</c:v>
                </c:pt>
                <c:pt idx="5">
                  <c:v>51.433090711262302</c:v>
                </c:pt>
                <c:pt idx="6">
                  <c:v>47.266101679304597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1B4-B21C-DD3BD0BCC2B3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jhtdb!$I$13:$I$19</c:f>
              <c:numCache>
                <c:formatCode>General</c:formatCode>
                <c:ptCount val="7"/>
                <c:pt idx="0">
                  <c:v>60.973921080852698</c:v>
                </c:pt>
                <c:pt idx="1">
                  <c:v>61.798089305106799</c:v>
                </c:pt>
                <c:pt idx="2">
                  <c:v>60.016548074850803</c:v>
                </c:pt>
                <c:pt idx="3">
                  <c:v>51.899050837957802</c:v>
                </c:pt>
                <c:pt idx="4">
                  <c:v>44.807436540690198</c:v>
                </c:pt>
                <c:pt idx="5">
                  <c:v>44.498039684705802</c:v>
                </c:pt>
                <c:pt idx="6">
                  <c:v>40.996825296249497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B3-41B4-B21C-DD3BD0BCC2B3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jhtdb!$I$24:$I$30</c:f>
              <c:numCache>
                <c:formatCode>General</c:formatCode>
                <c:ptCount val="7"/>
                <c:pt idx="0">
                  <c:v>115.48346293681401</c:v>
                </c:pt>
                <c:pt idx="1">
                  <c:v>96.058800170504199</c:v>
                </c:pt>
                <c:pt idx="2">
                  <c:v>100.18545441429301</c:v>
                </c:pt>
                <c:pt idx="3">
                  <c:v>93.116009389439299</c:v>
                </c:pt>
                <c:pt idx="4">
                  <c:v>78.436224719417694</c:v>
                </c:pt>
                <c:pt idx="5">
                  <c:v>74.780647563984601</c:v>
                </c:pt>
                <c:pt idx="6">
                  <c:v>85.101894600114505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3-41B4-B21C-DD3BD0BCC2B3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jhtdb!$I$35:$I$41</c:f>
              <c:numCache>
                <c:formatCode>General</c:formatCode>
                <c:ptCount val="7"/>
                <c:pt idx="0">
                  <c:v>184.364415871902</c:v>
                </c:pt>
                <c:pt idx="1">
                  <c:v>161.19698802097901</c:v>
                </c:pt>
                <c:pt idx="2">
                  <c:v>129.577353050531</c:v>
                </c:pt>
                <c:pt idx="3">
                  <c:v>145.611708460454</c:v>
                </c:pt>
                <c:pt idx="4">
                  <c:v>139.18236033407001</c:v>
                </c:pt>
                <c:pt idx="5">
                  <c:v>150.147765134553</c:v>
                </c:pt>
                <c:pt idx="6">
                  <c:v>142.15418745945601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B3-41B4-B21C-DD3BD0BCC2B3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jhtdb!$I$47:$I$53</c:f>
              <c:numCache>
                <c:formatCode>General</c:formatCode>
                <c:ptCount val="7"/>
                <c:pt idx="0">
                  <c:v>426.25944003300702</c:v>
                </c:pt>
                <c:pt idx="1">
                  <c:v>277.67086859980702</c:v>
                </c:pt>
                <c:pt idx="2">
                  <c:v>176.60752743510801</c:v>
                </c:pt>
                <c:pt idx="3">
                  <c:v>155.98657067673801</c:v>
                </c:pt>
                <c:pt idx="4">
                  <c:v>152.511935069743</c:v>
                </c:pt>
                <c:pt idx="5">
                  <c:v>124.765135207296</c:v>
                </c:pt>
                <c:pt idx="6">
                  <c:v>140.548017513193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B3-41B4-B21C-DD3BD0BCC2B3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jhtdb!$I$58:$I$64</c:f>
              <c:numCache>
                <c:formatCode>General</c:formatCode>
                <c:ptCount val="7"/>
                <c:pt idx="0">
                  <c:v>150.715763221278</c:v>
                </c:pt>
                <c:pt idx="1">
                  <c:v>135.976239436968</c:v>
                </c:pt>
                <c:pt idx="2">
                  <c:v>140.668868211872</c:v>
                </c:pt>
                <c:pt idx="3">
                  <c:v>130.975237702822</c:v>
                </c:pt>
                <c:pt idx="4">
                  <c:v>140.32945332263299</c:v>
                </c:pt>
                <c:pt idx="5">
                  <c:v>132.991880696941</c:v>
                </c:pt>
                <c:pt idx="6">
                  <c:v>141.74391192355699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B3-41B4-B21C-DD3BD0BCC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jhtdb!$A$1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jhtdb!$Q$3:$Q$9</c:f>
              <c:numCache>
                <c:formatCode>General</c:formatCode>
                <c:ptCount val="7"/>
                <c:pt idx="0">
                  <c:v>1.1521146346615776</c:v>
                </c:pt>
                <c:pt idx="1">
                  <c:v>1.3460846540897538</c:v>
                </c:pt>
                <c:pt idx="2">
                  <c:v>1.8110721232312601</c:v>
                </c:pt>
                <c:pt idx="3">
                  <c:v>2.00604699615395</c:v>
                </c:pt>
                <c:pt idx="4">
                  <c:v>2.9955266890527001</c:v>
                </c:pt>
                <c:pt idx="5">
                  <c:v>3.7235113838901799</c:v>
                </c:pt>
                <c:pt idx="6">
                  <c:v>5.8648941505744503</c:v>
                </c:pt>
              </c:numCache>
            </c:numRef>
          </c:xVal>
          <c:yVal>
            <c:numRef>
              <c:f>jhtdb!$D$3:$D$9</c:f>
              <c:numCache>
                <c:formatCode>General</c:formatCode>
                <c:ptCount val="7"/>
                <c:pt idx="0">
                  <c:v>44.775975147042999</c:v>
                </c:pt>
                <c:pt idx="1">
                  <c:v>50.7899262300621</c:v>
                </c:pt>
                <c:pt idx="2">
                  <c:v>64.771407444905506</c:v>
                </c:pt>
                <c:pt idx="3">
                  <c:v>70.791983666556206</c:v>
                </c:pt>
                <c:pt idx="4">
                  <c:v>84.771182316618805</c:v>
                </c:pt>
                <c:pt idx="5">
                  <c:v>90.791718518954298</c:v>
                </c:pt>
                <c:pt idx="6">
                  <c:v>104.77108080354201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0-44D8-AEB9-76FD2AB7A387}"/>
            </c:ext>
          </c:extLst>
        </c:ser>
        <c:ser>
          <c:idx val="1"/>
          <c:order val="1"/>
          <c:tx>
            <c:strRef>
              <c:f>jhtdb!$A$11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jhtdb!$Q$13:$Q$19</c:f>
              <c:numCache>
                <c:formatCode>General</c:formatCode>
                <c:ptCount val="7"/>
                <c:pt idx="0">
                  <c:v>0.24325948459472158</c:v>
                </c:pt>
                <c:pt idx="1">
                  <c:v>0.36360175833629732</c:v>
                </c:pt>
                <c:pt idx="2">
                  <c:v>0.91858781338674733</c:v>
                </c:pt>
                <c:pt idx="3">
                  <c:v>1.2747421240428445</c:v>
                </c:pt>
                <c:pt idx="4">
                  <c:v>2.3989887043170999</c:v>
                </c:pt>
                <c:pt idx="5">
                  <c:v>3.1367711755155598</c:v>
                </c:pt>
                <c:pt idx="6">
                  <c:v>5.3564328820364304</c:v>
                </c:pt>
              </c:numCache>
            </c:numRef>
          </c:xVal>
          <c:yVal>
            <c:numRef>
              <c:f>jhtdb!$D$13:$D$19</c:f>
              <c:numCache>
                <c:formatCode>General</c:formatCode>
                <c:ptCount val="7"/>
                <c:pt idx="0">
                  <c:v>55.418630785966201</c:v>
                </c:pt>
                <c:pt idx="1">
                  <c:v>58.981531187043203</c:v>
                </c:pt>
                <c:pt idx="2">
                  <c:v>69.351842925048899</c:v>
                </c:pt>
                <c:pt idx="3">
                  <c:v>73.823457267049506</c:v>
                </c:pt>
                <c:pt idx="4">
                  <c:v>85.750886954293506</c:v>
                </c:pt>
                <c:pt idx="5">
                  <c:v>91.190255053164904</c:v>
                </c:pt>
                <c:pt idx="6">
                  <c:v>104.78397050438601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0-44D8-AEB9-76FD2AB7A387}"/>
            </c:ext>
          </c:extLst>
        </c:ser>
        <c:ser>
          <c:idx val="2"/>
          <c:order val="2"/>
          <c:tx>
            <c:strRef>
              <c:f>jhtdb!$A$22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jhtdb!$Q$24:$Q$30</c:f>
              <c:numCache>
                <c:formatCode>General</c:formatCode>
                <c:ptCount val="7"/>
                <c:pt idx="0">
                  <c:v>1.6107757109238408</c:v>
                </c:pt>
                <c:pt idx="1">
                  <c:v>2.4868415722436032</c:v>
                </c:pt>
                <c:pt idx="2">
                  <c:v>5.3554535283856159</c:v>
                </c:pt>
                <c:pt idx="3">
                  <c:v>6.5391815757917078</c:v>
                </c:pt>
                <c:pt idx="4">
                  <c:v>8.8820247929084459</c:v>
                </c:pt>
                <c:pt idx="5">
                  <c:v>9.8619422869895672</c:v>
                </c:pt>
                <c:pt idx="6">
                  <c:v>12.182796399158587</c:v>
                </c:pt>
              </c:numCache>
            </c:numRef>
          </c:xVal>
          <c:yVal>
            <c:numRef>
              <c:f>jhtdb!$D$24:$D$30</c:f>
              <c:numCache>
                <c:formatCode>General</c:formatCode>
                <c:ptCount val="7"/>
                <c:pt idx="0">
                  <c:v>44.775975450946</c:v>
                </c:pt>
                <c:pt idx="1">
                  <c:v>50.789926538550702</c:v>
                </c:pt>
                <c:pt idx="2">
                  <c:v>64.771407092497796</c:v>
                </c:pt>
                <c:pt idx="3">
                  <c:v>70.791983313378296</c:v>
                </c:pt>
                <c:pt idx="4">
                  <c:v>84.771182612645205</c:v>
                </c:pt>
                <c:pt idx="5">
                  <c:v>90.791718802428903</c:v>
                </c:pt>
                <c:pt idx="6">
                  <c:v>104.771081075726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60-44D8-AEB9-76FD2AB7A387}"/>
            </c:ext>
          </c:extLst>
        </c:ser>
        <c:ser>
          <c:idx val="3"/>
          <c:order val="3"/>
          <c:tx>
            <c:strRef>
              <c:f>jhtdb!$A$33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jhtdb!$Q$35:$Q$41</c:f>
              <c:numCache>
                <c:formatCode>General</c:formatCode>
                <c:ptCount val="7"/>
                <c:pt idx="0">
                  <c:v>10.46657051099478</c:v>
                </c:pt>
                <c:pt idx="1">
                  <c:v>11.271158060830791</c:v>
                </c:pt>
                <c:pt idx="2">
                  <c:v>12.882589275113197</c:v>
                </c:pt>
                <c:pt idx="3">
                  <c:v>14.163561987528313</c:v>
                </c:pt>
                <c:pt idx="4">
                  <c:v>17.729192414352699</c:v>
                </c:pt>
                <c:pt idx="5">
                  <c:v>18.641062706419099</c:v>
                </c:pt>
                <c:pt idx="6">
                  <c:v>20.124920012423299</c:v>
                </c:pt>
              </c:numCache>
            </c:numRef>
          </c:xVal>
          <c:yVal>
            <c:numRef>
              <c:f>jhtdb!$D$35:$D$39</c:f>
              <c:numCache>
                <c:formatCode>General</c:formatCode>
                <c:ptCount val="5"/>
                <c:pt idx="0">
                  <c:v>73.041226396686199</c:v>
                </c:pt>
                <c:pt idx="1">
                  <c:v>79.022005218861494</c:v>
                </c:pt>
                <c:pt idx="2">
                  <c:v>91.0318977461028</c:v>
                </c:pt>
                <c:pt idx="3">
                  <c:v>97.0477987850213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60-44D8-AEB9-76FD2AB7A387}"/>
            </c:ext>
          </c:extLst>
        </c:ser>
        <c:ser>
          <c:idx val="4"/>
          <c:order val="4"/>
          <c:tx>
            <c:strRef>
              <c:f>jhtdb!$A$44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jhtdb!$Q$46:$Q$53</c:f>
              <c:numCache>
                <c:formatCode>General</c:formatCode>
                <c:ptCount val="8"/>
                <c:pt idx="0">
                  <c:v>0.49603960396039987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jhtdb!$D$46:$D$53</c:f>
              <c:numCache>
                <c:formatCode>General</c:formatCode>
                <c:ptCount val="8"/>
                <c:pt idx="0">
                  <c:v>52.3281061261101</c:v>
                </c:pt>
                <c:pt idx="1">
                  <c:v>61.682782363282101</c:v>
                </c:pt>
                <c:pt idx="2">
                  <c:v>71.004374710709598</c:v>
                </c:pt>
                <c:pt idx="3">
                  <c:v>83.698482460038406</c:v>
                </c:pt>
                <c:pt idx="4">
                  <c:v>95.500248718413005</c:v>
                </c:pt>
                <c:pt idx="5">
                  <c:v>107.435836865098</c:v>
                </c:pt>
                <c:pt idx="6">
                  <c:v>131.50725207909699</c:v>
                </c:pt>
                <c:pt idx="7">
                  <c:v>155.563975409687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60-44D8-AEB9-76FD2AB7A387}"/>
            </c:ext>
          </c:extLst>
        </c:ser>
        <c:ser>
          <c:idx val="5"/>
          <c:order val="5"/>
          <c:tx>
            <c:strRef>
              <c:f>jhtdb!$A$56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jhtdb!$Q$58:$Q$64</c:f>
              <c:numCache>
                <c:formatCode>General</c:formatCode>
                <c:ptCount val="7"/>
                <c:pt idx="0">
                  <c:v>1.7741652436839388</c:v>
                </c:pt>
                <c:pt idx="1">
                  <c:v>2.20006118180889</c:v>
                </c:pt>
                <c:pt idx="2">
                  <c:v>2.7879784727301815</c:v>
                </c:pt>
                <c:pt idx="3">
                  <c:v>3.0198954129619486</c:v>
                </c:pt>
                <c:pt idx="4">
                  <c:v>4.1013871833845821</c:v>
                </c:pt>
                <c:pt idx="5">
                  <c:v>4.8755264246139589</c:v>
                </c:pt>
                <c:pt idx="6">
                  <c:v>7.0438468387635487</c:v>
                </c:pt>
              </c:numCache>
            </c:numRef>
          </c:xVal>
          <c:yVal>
            <c:numRef>
              <c:f>jhtdb!$D$58:$D$64</c:f>
              <c:numCache>
                <c:formatCode>General</c:formatCode>
                <c:ptCount val="7"/>
                <c:pt idx="0">
                  <c:v>44.775975135301103</c:v>
                </c:pt>
                <c:pt idx="1">
                  <c:v>50.789926217720698</c:v>
                </c:pt>
                <c:pt idx="2">
                  <c:v>64.771407583985095</c:v>
                </c:pt>
                <c:pt idx="3">
                  <c:v>70.791983804890094</c:v>
                </c:pt>
                <c:pt idx="4">
                  <c:v>84.771182431216701</c:v>
                </c:pt>
                <c:pt idx="5">
                  <c:v>90.791718636616807</c:v>
                </c:pt>
                <c:pt idx="6">
                  <c:v>64.845060849640006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60-44D8-AEB9-76FD2AB7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logscale!$C$3:$C$9</c:f>
              <c:numCache>
                <c:formatCode>General</c:formatCode>
                <c:ptCount val="7"/>
                <c:pt idx="0">
                  <c:v>1.1659005644953999</c:v>
                </c:pt>
                <c:pt idx="1">
                  <c:v>1.2577608796871</c:v>
                </c:pt>
                <c:pt idx="2">
                  <c:v>1.6520213517706399</c:v>
                </c:pt>
                <c:pt idx="3">
                  <c:v>1.9471007721895399</c:v>
                </c:pt>
                <c:pt idx="4">
                  <c:v>2.86535178233563</c:v>
                </c:pt>
                <c:pt idx="5">
                  <c:v>3.4173792330555202</c:v>
                </c:pt>
                <c:pt idx="6">
                  <c:v>5.3179655680937596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44.7552652207604</c:v>
                </c:pt>
                <c:pt idx="1">
                  <c:v>51.257344376953498</c:v>
                </c:pt>
                <c:pt idx="2">
                  <c:v>64.632338149854206</c:v>
                </c:pt>
                <c:pt idx="3">
                  <c:v>70.661301887190405</c:v>
                </c:pt>
                <c:pt idx="4">
                  <c:v>85.158021334060905</c:v>
                </c:pt>
                <c:pt idx="5">
                  <c:v>91.065049096334903</c:v>
                </c:pt>
                <c:pt idx="6">
                  <c:v>104.82698021349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63-42C0-B2D2-BC66A74815CF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logscale!$C$13:$C$19</c:f>
              <c:numCache>
                <c:formatCode>General</c:formatCode>
                <c:ptCount val="7"/>
                <c:pt idx="0">
                  <c:v>1.22157908153758</c:v>
                </c:pt>
                <c:pt idx="1">
                  <c:v>1.2947481098117499</c:v>
                </c:pt>
                <c:pt idx="2">
                  <c:v>1.6357629488538701</c:v>
                </c:pt>
                <c:pt idx="3">
                  <c:v>1.91371090380193</c:v>
                </c:pt>
                <c:pt idx="4">
                  <c:v>3.2975625944819602</c:v>
                </c:pt>
                <c:pt idx="5">
                  <c:v>4.1721765317669002</c:v>
                </c:pt>
                <c:pt idx="6">
                  <c:v>6.9457730141663303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52.2265960016639</c:v>
                </c:pt>
                <c:pt idx="1">
                  <c:v>56.762367537728203</c:v>
                </c:pt>
                <c:pt idx="2">
                  <c:v>68.4467012965507</c:v>
                </c:pt>
                <c:pt idx="3">
                  <c:v>73.513282743100504</c:v>
                </c:pt>
                <c:pt idx="4">
                  <c:v>86.167206263756995</c:v>
                </c:pt>
                <c:pt idx="5">
                  <c:v>91.733737401899702</c:v>
                </c:pt>
                <c:pt idx="6">
                  <c:v>105.09506711281701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63-42C0-B2D2-BC66A74815CF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logscale!$C$24:$C$30</c:f>
              <c:numCache>
                <c:formatCode>General</c:formatCode>
                <c:ptCount val="7"/>
                <c:pt idx="0">
                  <c:v>5.4812025580736599</c:v>
                </c:pt>
                <c:pt idx="1">
                  <c:v>6.39828172210178</c:v>
                </c:pt>
                <c:pt idx="2">
                  <c:v>8.63889521137855</c:v>
                </c:pt>
                <c:pt idx="3">
                  <c:v>9.6115663393055897</c:v>
                </c:pt>
                <c:pt idx="4">
                  <c:v>11.835677216288</c:v>
                </c:pt>
                <c:pt idx="5">
                  <c:v>12.8316764227117</c:v>
                </c:pt>
                <c:pt idx="6">
                  <c:v>15.204522601025801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44.755279032073403</c:v>
                </c:pt>
                <c:pt idx="1">
                  <c:v>51.257340018505701</c:v>
                </c:pt>
                <c:pt idx="2">
                  <c:v>64.632337273049203</c:v>
                </c:pt>
                <c:pt idx="3">
                  <c:v>70.661302692982702</c:v>
                </c:pt>
                <c:pt idx="4">
                  <c:v>85.158397381075304</c:v>
                </c:pt>
                <c:pt idx="5">
                  <c:v>91.066333779008502</c:v>
                </c:pt>
                <c:pt idx="6">
                  <c:v>104.829350144057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63-42C0-B2D2-BC66A74815CF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logscale!$C$35:$C$39</c:f>
              <c:numCache>
                <c:formatCode>General</c:formatCode>
                <c:ptCount val="5"/>
                <c:pt idx="0">
                  <c:v>10.101494515241701</c:v>
                </c:pt>
                <c:pt idx="1">
                  <c:v>11.160875976672299</c:v>
                </c:pt>
                <c:pt idx="2">
                  <c:v>13.1696989033909</c:v>
                </c:pt>
                <c:pt idx="3">
                  <c:v>14.108104256181999</c:v>
                </c:pt>
                <c:pt idx="4">
                  <c:v>16.919869873490601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0">
                  <c:v>77.144337469663498</c:v>
                </c:pt>
                <c:pt idx="1">
                  <c:v>84.495190699521501</c:v>
                </c:pt>
                <c:pt idx="2">
                  <c:v>98.183197470766501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63-42C0-B2D2-BC66A74815CF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63-42C0-B2D2-BC66A74815CF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logscale!$C$58:$C$64</c:f>
              <c:numCache>
                <c:formatCode>General</c:formatCode>
                <c:ptCount val="7"/>
                <c:pt idx="0">
                  <c:v>1.8424223500748</c:v>
                </c:pt>
                <c:pt idx="1">
                  <c:v>2.2396242349360902</c:v>
                </c:pt>
                <c:pt idx="2">
                  <c:v>3.1109284335479699</c:v>
                </c:pt>
                <c:pt idx="3">
                  <c:v>3.4858687297700799</c:v>
                </c:pt>
                <c:pt idx="4">
                  <c:v>4.4234653878391503</c:v>
                </c:pt>
                <c:pt idx="5">
                  <c:v>4.9111997906358598</c:v>
                </c:pt>
                <c:pt idx="6">
                  <c:v>6.3108232272077398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43.264169039582796</c:v>
                </c:pt>
                <c:pt idx="1">
                  <c:v>49.288976598791201</c:v>
                </c:pt>
                <c:pt idx="2">
                  <c:v>63.265952828353001</c:v>
                </c:pt>
                <c:pt idx="3">
                  <c:v>69.2843486872939</c:v>
                </c:pt>
                <c:pt idx="4">
                  <c:v>83.259652727868797</c:v>
                </c:pt>
                <c:pt idx="5">
                  <c:v>89.279270677886103</c:v>
                </c:pt>
                <c:pt idx="6">
                  <c:v>2.31520399968168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F63-42C0-B2D2-BC66A7481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logscale!$H$3:$H$9</c:f>
              <c:numCache>
                <c:formatCode>General</c:formatCode>
                <c:ptCount val="7"/>
                <c:pt idx="0">
                  <c:v>119.734466155314</c:v>
                </c:pt>
                <c:pt idx="1">
                  <c:v>117.500080222138</c:v>
                </c:pt>
                <c:pt idx="2">
                  <c:v>111.861787472709</c:v>
                </c:pt>
                <c:pt idx="3">
                  <c:v>109.346853575566</c:v>
                </c:pt>
                <c:pt idx="4">
                  <c:v>103.462956743002</c:v>
                </c:pt>
                <c:pt idx="5">
                  <c:v>101.399082785902</c:v>
                </c:pt>
                <c:pt idx="6">
                  <c:v>95.068505015168995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F9-40D4-847C-791EFB6D4B51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logscale!$H$13:$H$19</c:f>
              <c:numCache>
                <c:formatCode>General</c:formatCode>
                <c:ptCount val="7"/>
                <c:pt idx="0">
                  <c:v>67.737258965958702</c:v>
                </c:pt>
                <c:pt idx="1">
                  <c:v>67.449823597718094</c:v>
                </c:pt>
                <c:pt idx="2">
                  <c:v>66.408543334271897</c:v>
                </c:pt>
                <c:pt idx="3">
                  <c:v>65.699510964694497</c:v>
                </c:pt>
                <c:pt idx="4">
                  <c:v>63.819468637322402</c:v>
                </c:pt>
                <c:pt idx="5">
                  <c:v>63.220897217924602</c:v>
                </c:pt>
                <c:pt idx="6">
                  <c:v>61.625291466022098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F9-40D4-847C-791EFB6D4B51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logscale!$H$24:$H$30</c:f>
              <c:numCache>
                <c:formatCode>General</c:formatCode>
                <c:ptCount val="7"/>
                <c:pt idx="0">
                  <c:v>104.122611460615</c:v>
                </c:pt>
                <c:pt idx="1">
                  <c:v>95.202812085027404</c:v>
                </c:pt>
                <c:pt idx="2">
                  <c:v>76.765990842951794</c:v>
                </c:pt>
                <c:pt idx="3">
                  <c:v>70.795456785990694</c:v>
                </c:pt>
                <c:pt idx="4">
                  <c:v>60.0790545568765</c:v>
                </c:pt>
                <c:pt idx="5">
                  <c:v>56.002507751679701</c:v>
                </c:pt>
                <c:pt idx="6">
                  <c:v>47.931707881547297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F9-40D4-847C-791EFB6D4B51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logscale!$H$35:$H$41</c:f>
              <c:numCache>
                <c:formatCode>General</c:formatCode>
                <c:ptCount val="7"/>
                <c:pt idx="0">
                  <c:v>180.05402548383699</c:v>
                </c:pt>
                <c:pt idx="1">
                  <c:v>175.07643691679399</c:v>
                </c:pt>
                <c:pt idx="2">
                  <c:v>171.49542238933299</c:v>
                </c:pt>
                <c:pt idx="3">
                  <c:v>170.83672684747299</c:v>
                </c:pt>
                <c:pt idx="4">
                  <c:v>169.43622552756099</c:v>
                </c:pt>
                <c:pt idx="5">
                  <c:v>168.88193310797999</c:v>
                </c:pt>
                <c:pt idx="6">
                  <c:v>166.811931365324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F9-40D4-847C-791EFB6D4B51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logscale!$H$47:$H$53</c:f>
              <c:numCache>
                <c:formatCode>General</c:formatCode>
                <c:ptCount val="7"/>
                <c:pt idx="0">
                  <c:v>330.42069112119401</c:v>
                </c:pt>
                <c:pt idx="1">
                  <c:v>217.45320900240401</c:v>
                </c:pt>
                <c:pt idx="2">
                  <c:v>112.550055739942</c:v>
                </c:pt>
                <c:pt idx="3">
                  <c:v>94.8975336151627</c:v>
                </c:pt>
                <c:pt idx="4">
                  <c:v>86.814681567365696</c:v>
                </c:pt>
                <c:pt idx="5">
                  <c:v>78.135976754714093</c:v>
                </c:pt>
                <c:pt idx="6">
                  <c:v>86.772434753131094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F9-40D4-847C-791EFB6D4B51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logscale!$H$58:$H$64</c:f>
              <c:numCache>
                <c:formatCode>General</c:formatCode>
                <c:ptCount val="7"/>
                <c:pt idx="0">
                  <c:v>156.78829467809399</c:v>
                </c:pt>
                <c:pt idx="1">
                  <c:v>156.64247971194001</c:v>
                </c:pt>
                <c:pt idx="2">
                  <c:v>156.430574857316</c:v>
                </c:pt>
                <c:pt idx="3">
                  <c:v>156.29497052309</c:v>
                </c:pt>
                <c:pt idx="4">
                  <c:v>156.09622952073701</c:v>
                </c:pt>
                <c:pt idx="5">
                  <c:v>155.93554398743299</c:v>
                </c:pt>
                <c:pt idx="6">
                  <c:v>155.57931399383199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F9-40D4-847C-791EFB6D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logscale!$A$3:$A$9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logscale!$I$3:$I$9</c:f>
              <c:numCache>
                <c:formatCode>General</c:formatCode>
                <c:ptCount val="7"/>
                <c:pt idx="0">
                  <c:v>67.372282309960198</c:v>
                </c:pt>
                <c:pt idx="1">
                  <c:v>65.685453437275896</c:v>
                </c:pt>
                <c:pt idx="2">
                  <c:v>60.330016559030803</c:v>
                </c:pt>
                <c:pt idx="3">
                  <c:v>57.137693361912802</c:v>
                </c:pt>
                <c:pt idx="4">
                  <c:v>49.725274843125398</c:v>
                </c:pt>
                <c:pt idx="5">
                  <c:v>47.204412046883597</c:v>
                </c:pt>
                <c:pt idx="6">
                  <c:v>43.673410321120897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B5B-8236-BF99D3AF0DCB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logscale!$I$13:$I$19</c:f>
              <c:numCache>
                <c:formatCode>General</c:formatCode>
                <c:ptCount val="7"/>
                <c:pt idx="0">
                  <c:v>48.995651453065904</c:v>
                </c:pt>
                <c:pt idx="1">
                  <c:v>48.102618899018601</c:v>
                </c:pt>
                <c:pt idx="2">
                  <c:v>44.539400655703403</c:v>
                </c:pt>
                <c:pt idx="3">
                  <c:v>42.764327311774402</c:v>
                </c:pt>
                <c:pt idx="4">
                  <c:v>38.969361127415297</c:v>
                </c:pt>
                <c:pt idx="5">
                  <c:v>37.713232314455198</c:v>
                </c:pt>
                <c:pt idx="6">
                  <c:v>36.7410259797782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DC-4B5B-8236-BF99D3AF0DCB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logscale!$I$24:$I$30</c:f>
              <c:numCache>
                <c:formatCode>General</c:formatCode>
                <c:ptCount val="7"/>
                <c:pt idx="0">
                  <c:v>99.771615511879503</c:v>
                </c:pt>
                <c:pt idx="1">
                  <c:v>94.060173748667196</c:v>
                </c:pt>
                <c:pt idx="2">
                  <c:v>86.347550216030001</c:v>
                </c:pt>
                <c:pt idx="3">
                  <c:v>84.423431333047901</c:v>
                </c:pt>
                <c:pt idx="4">
                  <c:v>79.386010007167997</c:v>
                </c:pt>
                <c:pt idx="5">
                  <c:v>77.610061393058999</c:v>
                </c:pt>
                <c:pt idx="6">
                  <c:v>74.417968461367707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DC-4B5B-8236-BF99D3AF0DCB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logscale!$I$35:$I$41</c:f>
              <c:numCache>
                <c:formatCode>General</c:formatCode>
                <c:ptCount val="7"/>
                <c:pt idx="0">
                  <c:v>177.65774216427201</c:v>
                </c:pt>
                <c:pt idx="1">
                  <c:v>164.57806031165899</c:v>
                </c:pt>
                <c:pt idx="2">
                  <c:v>154.42427041613601</c:v>
                </c:pt>
                <c:pt idx="3">
                  <c:v>155.369417459179</c:v>
                </c:pt>
                <c:pt idx="4">
                  <c:v>144.95567893198299</c:v>
                </c:pt>
                <c:pt idx="5">
                  <c:v>140.89025767203299</c:v>
                </c:pt>
                <c:pt idx="6">
                  <c:v>138.032671445387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DC-4B5B-8236-BF99D3AF0DCB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logscale!$I$47:$I$53</c:f>
              <c:numCache>
                <c:formatCode>General</c:formatCode>
                <c:ptCount val="7"/>
                <c:pt idx="0">
                  <c:v>359.306585809122</c:v>
                </c:pt>
                <c:pt idx="1">
                  <c:v>245.124679214358</c:v>
                </c:pt>
                <c:pt idx="2">
                  <c:v>168.374414848421</c:v>
                </c:pt>
                <c:pt idx="3">
                  <c:v>148.714926961656</c:v>
                </c:pt>
                <c:pt idx="4">
                  <c:v>139.69136595687701</c:v>
                </c:pt>
                <c:pt idx="5">
                  <c:v>128.952645496738</c:v>
                </c:pt>
                <c:pt idx="6">
                  <c:v>123.269944437546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DC-4B5B-8236-BF99D3AF0DCB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logscale!$I$58:$I$64</c:f>
              <c:numCache>
                <c:formatCode>General</c:formatCode>
                <c:ptCount val="7"/>
                <c:pt idx="0">
                  <c:v>122.23772582155701</c:v>
                </c:pt>
                <c:pt idx="1">
                  <c:v>121.83696745514099</c:v>
                </c:pt>
                <c:pt idx="2">
                  <c:v>121.51308320138099</c:v>
                </c:pt>
                <c:pt idx="3">
                  <c:v>121.41609953001399</c:v>
                </c:pt>
                <c:pt idx="4">
                  <c:v>121.268059812606</c:v>
                </c:pt>
                <c:pt idx="5">
                  <c:v>121.17873697892399</c:v>
                </c:pt>
                <c:pt idx="6">
                  <c:v>120.948205690062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DC-4B5B-8236-BF99D3AF0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668832151448257E-2"/>
          <c:y val="6.2123006833712989E-2"/>
          <c:w val="0.86080942168511243"/>
          <c:h val="0.89013527523182612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logscale!$A$1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logscale!$Q$3:$Q$9</c:f>
              <c:numCache>
                <c:formatCode>General</c:formatCode>
                <c:ptCount val="7"/>
                <c:pt idx="0">
                  <c:v>0.74075532347044759</c:v>
                </c:pt>
                <c:pt idx="1">
                  <c:v>0.94988455592763865</c:v>
                </c:pt>
                <c:pt idx="2">
                  <c:v>1.5046199904666109</c:v>
                </c:pt>
                <c:pt idx="3">
                  <c:v>1.8261711785483656</c:v>
                </c:pt>
                <c:pt idx="4">
                  <c:v>2.7814922344308362</c:v>
                </c:pt>
                <c:pt idx="5">
                  <c:v>3.3335438849221344</c:v>
                </c:pt>
                <c:pt idx="6">
                  <c:v>5.2156041614899182</c:v>
                </c:pt>
              </c:numCache>
            </c:numRef>
          </c:xVal>
          <c:yVal>
            <c:numRef>
              <c:f>logscale!$D$3:$D$9</c:f>
              <c:numCache>
                <c:formatCode>General</c:formatCode>
                <c:ptCount val="7"/>
                <c:pt idx="0">
                  <c:v>44.7552652207604</c:v>
                </c:pt>
                <c:pt idx="1">
                  <c:v>51.257344376953498</c:v>
                </c:pt>
                <c:pt idx="2">
                  <c:v>64.632338149854206</c:v>
                </c:pt>
                <c:pt idx="3">
                  <c:v>70.661301887190405</c:v>
                </c:pt>
                <c:pt idx="4">
                  <c:v>85.158021334060905</c:v>
                </c:pt>
                <c:pt idx="5">
                  <c:v>91.065049096334903</c:v>
                </c:pt>
                <c:pt idx="6">
                  <c:v>104.82698021349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CF-45B2-A0A8-2C0DB2F76787}"/>
            </c:ext>
          </c:extLst>
        </c:ser>
        <c:ser>
          <c:idx val="1"/>
          <c:order val="1"/>
          <c:tx>
            <c:strRef>
              <c:f>logscale!$A$11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logscale!$Q$13:$Q$19</c:f>
              <c:numCache>
                <c:formatCode>General</c:formatCode>
                <c:ptCount val="7"/>
                <c:pt idx="0">
                  <c:v>0.40480922971145</c:v>
                </c:pt>
                <c:pt idx="1">
                  <c:v>0.53110857587059013</c:v>
                </c:pt>
                <c:pt idx="2">
                  <c:v>1.0713100022225206</c:v>
                </c:pt>
                <c:pt idx="3">
                  <c:v>1.4504461929539636</c:v>
                </c:pt>
                <c:pt idx="4">
                  <c:v>3.0488559566459887</c:v>
                </c:pt>
                <c:pt idx="5">
                  <c:v>3.9648009546254945</c:v>
                </c:pt>
                <c:pt idx="6">
                  <c:v>6.6966491113194797</c:v>
                </c:pt>
              </c:numCache>
            </c:numRef>
          </c:xVal>
          <c:yVal>
            <c:numRef>
              <c:f>logscale!$D$13:$D$19</c:f>
              <c:numCache>
                <c:formatCode>General</c:formatCode>
                <c:ptCount val="7"/>
                <c:pt idx="0">
                  <c:v>52.2265960016639</c:v>
                </c:pt>
                <c:pt idx="1">
                  <c:v>56.762367537728203</c:v>
                </c:pt>
                <c:pt idx="2">
                  <c:v>68.4467012965507</c:v>
                </c:pt>
                <c:pt idx="3">
                  <c:v>73.513282743100504</c:v>
                </c:pt>
                <c:pt idx="4">
                  <c:v>86.167206263756995</c:v>
                </c:pt>
                <c:pt idx="5">
                  <c:v>91.733737401899702</c:v>
                </c:pt>
                <c:pt idx="6">
                  <c:v>105.09506711281701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CF-45B2-A0A8-2C0DB2F76787}"/>
            </c:ext>
          </c:extLst>
        </c:ser>
        <c:ser>
          <c:idx val="2"/>
          <c:order val="2"/>
          <c:tx>
            <c:strRef>
              <c:f>logscale!$A$22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logscale!$Q$24:$Q$30</c:f>
              <c:numCache>
                <c:formatCode>General</c:formatCode>
                <c:ptCount val="7"/>
                <c:pt idx="0">
                  <c:v>1.500705094020883</c:v>
                </c:pt>
                <c:pt idx="1">
                  <c:v>2.0964049248148275</c:v>
                </c:pt>
                <c:pt idx="2">
                  <c:v>4.039683732868097</c:v>
                </c:pt>
                <c:pt idx="3">
                  <c:v>5.0590685666513489</c:v>
                </c:pt>
                <c:pt idx="4">
                  <c:v>7.4343455796849662</c:v>
                </c:pt>
                <c:pt idx="5">
                  <c:v>8.4081606893305008</c:v>
                </c:pt>
                <c:pt idx="6">
                  <c:v>10.58578416463307</c:v>
                </c:pt>
              </c:numCache>
            </c:numRef>
          </c:xVal>
          <c:yVal>
            <c:numRef>
              <c:f>logscale!$D$24:$D$30</c:f>
              <c:numCache>
                <c:formatCode>General</c:formatCode>
                <c:ptCount val="7"/>
                <c:pt idx="0">
                  <c:v>44.755279032073403</c:v>
                </c:pt>
                <c:pt idx="1">
                  <c:v>51.257340018505701</c:v>
                </c:pt>
                <c:pt idx="2">
                  <c:v>64.632337273049203</c:v>
                </c:pt>
                <c:pt idx="3">
                  <c:v>70.661302692982702</c:v>
                </c:pt>
                <c:pt idx="4">
                  <c:v>85.158397381075304</c:v>
                </c:pt>
                <c:pt idx="5">
                  <c:v>91.066333779008502</c:v>
                </c:pt>
                <c:pt idx="6">
                  <c:v>104.829350144057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CF-45B2-A0A8-2C0DB2F76787}"/>
            </c:ext>
          </c:extLst>
        </c:ser>
        <c:ser>
          <c:idx val="3"/>
          <c:order val="3"/>
          <c:tx>
            <c:strRef>
              <c:f>logscale!$A$33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logscale!$Q$35:$Q$41</c:f>
              <c:numCache>
                <c:formatCode>General</c:formatCode>
                <c:ptCount val="7"/>
                <c:pt idx="0">
                  <c:v>9.9387495626267324</c:v>
                </c:pt>
                <c:pt idx="1">
                  <c:v>10.990271996528467</c:v>
                </c:pt>
                <c:pt idx="2">
                  <c:v>13.021110239581045</c:v>
                </c:pt>
                <c:pt idx="3">
                  <c:v>13.959694182363277</c:v>
                </c:pt>
                <c:pt idx="4">
                  <c:v>16.386921723401592</c:v>
                </c:pt>
                <c:pt idx="5">
                  <c:v>16.56214506809523</c:v>
                </c:pt>
                <c:pt idx="6">
                  <c:v>18.362616542054568</c:v>
                </c:pt>
              </c:numCache>
            </c:numRef>
          </c:xVal>
          <c:yVal>
            <c:numRef>
              <c:f>logscale!$D$35:$D$39</c:f>
              <c:numCache>
                <c:formatCode>General</c:formatCode>
                <c:ptCount val="5"/>
                <c:pt idx="0">
                  <c:v>77.144337469663498</c:v>
                </c:pt>
                <c:pt idx="1">
                  <c:v>84.495190699521501</c:v>
                </c:pt>
                <c:pt idx="2">
                  <c:v>98.183197470766501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CF-45B2-A0A8-2C0DB2F76787}"/>
            </c:ext>
          </c:extLst>
        </c:ser>
        <c:ser>
          <c:idx val="4"/>
          <c:order val="4"/>
          <c:tx>
            <c:strRef>
              <c:f>logscale!$A$44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logscale!$Q$46:$Q$53</c:f>
              <c:numCache>
                <c:formatCode>General</c:formatCode>
                <c:ptCount val="8"/>
                <c:pt idx="0">
                  <c:v>0.2188733191504883</c:v>
                </c:pt>
                <c:pt idx="1">
                  <c:v>0.67091111856332741</c:v>
                </c:pt>
                <c:pt idx="2">
                  <c:v>1.9486717037520935</c:v>
                </c:pt>
                <c:pt idx="3">
                  <c:v>3.8441965159522713</c:v>
                </c:pt>
                <c:pt idx="4">
                  <c:v>5.6666962976132558</c:v>
                </c:pt>
                <c:pt idx="5">
                  <c:v>7.4846933654522028</c:v>
                </c:pt>
                <c:pt idx="6">
                  <c:v>11.10703905586095</c:v>
                </c:pt>
                <c:pt idx="7">
                  <c:v>14.701184271988778</c:v>
                </c:pt>
              </c:numCache>
            </c:numRef>
          </c:xVal>
          <c:yVal>
            <c:numRef>
              <c:f>logscale!$D$46:$D$53</c:f>
              <c:numCache>
                <c:formatCode>General</c:formatCode>
                <c:ptCount val="8"/>
                <c:pt idx="0">
                  <c:v>26.455392710882801</c:v>
                </c:pt>
                <c:pt idx="1">
                  <c:v>32.794950183251302</c:v>
                </c:pt>
                <c:pt idx="2">
                  <c:v>37.954945150055799</c:v>
                </c:pt>
                <c:pt idx="3">
                  <c:v>48.6323121826237</c:v>
                </c:pt>
                <c:pt idx="4">
                  <c:v>60.370771836119502</c:v>
                </c:pt>
                <c:pt idx="5">
                  <c:v>72.158769544711305</c:v>
                </c:pt>
                <c:pt idx="6">
                  <c:v>96.018065923753397</c:v>
                </c:pt>
                <c:pt idx="7">
                  <c:v>120.09196931531601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CF-45B2-A0A8-2C0DB2F76787}"/>
            </c:ext>
          </c:extLst>
        </c:ser>
        <c:ser>
          <c:idx val="5"/>
          <c:order val="5"/>
          <c:tx>
            <c:strRef>
              <c:f>logscale!$A$56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logscale!$Q$58:$Q$64</c:f>
              <c:numCache>
                <c:formatCode>General</c:formatCode>
                <c:ptCount val="7"/>
                <c:pt idx="0">
                  <c:v>0.98373597144578229</c:v>
                </c:pt>
                <c:pt idx="1">
                  <c:v>1.3286804268194197</c:v>
                </c:pt>
                <c:pt idx="2">
                  <c:v>2.2273332893578965</c:v>
                </c:pt>
                <c:pt idx="3">
                  <c:v>2.6135979556672888</c:v>
                </c:pt>
                <c:pt idx="4">
                  <c:v>3.5231957664007507</c:v>
                </c:pt>
                <c:pt idx="5">
                  <c:v>3.9673300725508147</c:v>
                </c:pt>
                <c:pt idx="6">
                  <c:v>5.2712836012743454</c:v>
                </c:pt>
              </c:numCache>
            </c:numRef>
          </c:xVal>
          <c:yVal>
            <c:numRef>
              <c:f>logscale!$D$58:$D$64</c:f>
              <c:numCache>
                <c:formatCode>General</c:formatCode>
                <c:ptCount val="7"/>
                <c:pt idx="0">
                  <c:v>43.264169039582796</c:v>
                </c:pt>
                <c:pt idx="1">
                  <c:v>49.288976598791201</c:v>
                </c:pt>
                <c:pt idx="2">
                  <c:v>63.265952828353001</c:v>
                </c:pt>
                <c:pt idx="3">
                  <c:v>69.2843486872939</c:v>
                </c:pt>
                <c:pt idx="4">
                  <c:v>83.259652727868797</c:v>
                </c:pt>
                <c:pt idx="5">
                  <c:v>89.279270677886103</c:v>
                </c:pt>
                <c:pt idx="6">
                  <c:v>2.31520399968168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CF-45B2-A0A8-2C0DB2F7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68789049883617E-2"/>
          <c:y val="5.1142467000455175E-2"/>
          <c:w val="0.8514578623216652"/>
          <c:h val="0.89023528863625778"/>
        </c:manualLayout>
      </c:layout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loghurricane!$C$3:$C$9</c:f>
              <c:numCache>
                <c:formatCode>General</c:formatCode>
                <c:ptCount val="7"/>
                <c:pt idx="0">
                  <c:v>1.4131593837091501</c:v>
                </c:pt>
                <c:pt idx="1">
                  <c:v>1.5901918614391599</c:v>
                </c:pt>
                <c:pt idx="2">
                  <c:v>2.2511995220765701</c:v>
                </c:pt>
                <c:pt idx="3">
                  <c:v>3.0204293102067301</c:v>
                </c:pt>
                <c:pt idx="4">
                  <c:v>4.2386702948755497</c:v>
                </c:pt>
                <c:pt idx="5">
                  <c:v>4.9827415441989098</c:v>
                </c:pt>
                <c:pt idx="6">
                  <c:v>5.7450042180601599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45.603945504825603</c:v>
                </c:pt>
                <c:pt idx="1">
                  <c:v>49.989555185479098</c:v>
                </c:pt>
                <c:pt idx="2">
                  <c:v>64.619509580308701</c:v>
                </c:pt>
                <c:pt idx="3">
                  <c:v>70.1946634874745</c:v>
                </c:pt>
                <c:pt idx="4">
                  <c:v>85.328305628275103</c:v>
                </c:pt>
                <c:pt idx="5">
                  <c:v>90.194815735469504</c:v>
                </c:pt>
                <c:pt idx="6">
                  <c:v>104.081028359439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6B-4693-B4E7-E2A495843974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loghurricane!$C$13:$C$19</c:f>
              <c:numCache>
                <c:formatCode>General</c:formatCode>
                <c:ptCount val="7"/>
                <c:pt idx="0">
                  <c:v>1.5166797700265899</c:v>
                </c:pt>
                <c:pt idx="1">
                  <c:v>1.66093548608068</c:v>
                </c:pt>
                <c:pt idx="2">
                  <c:v>2.28512876881046</c:v>
                </c:pt>
                <c:pt idx="3">
                  <c:v>2.9978144523260402</c:v>
                </c:pt>
                <c:pt idx="4">
                  <c:v>4.9037468739347201</c:v>
                </c:pt>
                <c:pt idx="5">
                  <c:v>5.0583418876432296</c:v>
                </c:pt>
                <c:pt idx="6">
                  <c:v>6.7557324536805003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51.730207707064402</c:v>
                </c:pt>
                <c:pt idx="1">
                  <c:v>56.399689945277501</c:v>
                </c:pt>
                <c:pt idx="2">
                  <c:v>68.0538502553418</c:v>
                </c:pt>
                <c:pt idx="3">
                  <c:v>73.291522769353705</c:v>
                </c:pt>
                <c:pt idx="4">
                  <c:v>86.454779893871205</c:v>
                </c:pt>
                <c:pt idx="5">
                  <c:v>92.450655477002101</c:v>
                </c:pt>
                <c:pt idx="6">
                  <c:v>106.314946606646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6B-4693-B4E7-E2A495843974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loghurricane!$C$24:$C$30</c:f>
              <c:numCache>
                <c:formatCode>General</c:formatCode>
                <c:ptCount val="7"/>
                <c:pt idx="0">
                  <c:v>4.91998833665766</c:v>
                </c:pt>
                <c:pt idx="1">
                  <c:v>5.8384752424360897</c:v>
                </c:pt>
                <c:pt idx="2">
                  <c:v>8.1165207792585097</c:v>
                </c:pt>
                <c:pt idx="3">
                  <c:v>9.0820112343699702</c:v>
                </c:pt>
                <c:pt idx="4">
                  <c:v>11.3772156604196</c:v>
                </c:pt>
                <c:pt idx="5">
                  <c:v>12.3685977947612</c:v>
                </c:pt>
                <c:pt idx="6">
                  <c:v>14.5599845636011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45.603935738165298</c:v>
                </c:pt>
                <c:pt idx="1">
                  <c:v>49.989527924260202</c:v>
                </c:pt>
                <c:pt idx="2">
                  <c:v>64.619836743743093</c:v>
                </c:pt>
                <c:pt idx="3">
                  <c:v>70.194543870966498</c:v>
                </c:pt>
                <c:pt idx="4">
                  <c:v>85.328305625041807</c:v>
                </c:pt>
                <c:pt idx="5">
                  <c:v>90.194816132163695</c:v>
                </c:pt>
                <c:pt idx="6">
                  <c:v>104.28764819849501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6B-4693-B4E7-E2A495843974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loghurricane!$C$35:$C$39</c:f>
              <c:numCache>
                <c:formatCode>General</c:formatCode>
                <c:ptCount val="5"/>
                <c:pt idx="0">
                  <c:v>10.143847842382</c:v>
                </c:pt>
                <c:pt idx="1">
                  <c:v>10.861113047150701</c:v>
                </c:pt>
                <c:pt idx="2">
                  <c:v>12.493819102161799</c:v>
                </c:pt>
                <c:pt idx="3">
                  <c:v>13.3193727563855</c:v>
                </c:pt>
                <c:pt idx="4">
                  <c:v>15.4066545814443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38.541220794972602</c:v>
                </c:pt>
                <c:pt idx="1">
                  <c:v>40.483986359038099</c:v>
                </c:pt>
                <c:pt idx="2">
                  <c:v>51.861742326506203</c:v>
                </c:pt>
                <c:pt idx="3">
                  <c:v>54.2883005705974</c:v>
                </c:pt>
                <c:pt idx="4">
                  <c:v>62.081078368603102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6B-4693-B4E7-E2A495843974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6B-4693-B4E7-E2A495843974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loghurricane!$C$58:$C$64</c:f>
              <c:numCache>
                <c:formatCode>General</c:formatCode>
                <c:ptCount val="7"/>
                <c:pt idx="0">
                  <c:v>2.79185132714227</c:v>
                </c:pt>
                <c:pt idx="1">
                  <c:v>3.2199605250987702</c:v>
                </c:pt>
                <c:pt idx="2">
                  <c:v>4.2943148412751899</c:v>
                </c:pt>
                <c:pt idx="3">
                  <c:v>4.8382426454526399</c:v>
                </c:pt>
                <c:pt idx="4">
                  <c:v>6.3807151498386601</c:v>
                </c:pt>
                <c:pt idx="5">
                  <c:v>7.1493556440803196</c:v>
                </c:pt>
                <c:pt idx="6">
                  <c:v>8.8927415134578691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45.997105434116797</c:v>
                </c:pt>
                <c:pt idx="1">
                  <c:v>51.848323645932801</c:v>
                </c:pt>
                <c:pt idx="2">
                  <c:v>65.654161684413495</c:v>
                </c:pt>
                <c:pt idx="3">
                  <c:v>71.552214982662505</c:v>
                </c:pt>
                <c:pt idx="4">
                  <c:v>85.608277438578497</c:v>
                </c:pt>
                <c:pt idx="5">
                  <c:v>67.0549340347374</c:v>
                </c:pt>
                <c:pt idx="6">
                  <c:v>5.0189939169686797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6B-4693-B4E7-E2A495843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loghurricane!$H$3:$H$9</c:f>
              <c:numCache>
                <c:formatCode>General</c:formatCode>
                <c:ptCount val="7"/>
                <c:pt idx="0">
                  <c:v>120.15518584869901</c:v>
                </c:pt>
                <c:pt idx="1">
                  <c:v>118.61319256701</c:v>
                </c:pt>
                <c:pt idx="2">
                  <c:v>113.102778959967</c:v>
                </c:pt>
                <c:pt idx="3">
                  <c:v>109.18387287054399</c:v>
                </c:pt>
                <c:pt idx="4">
                  <c:v>108.393951404665</c:v>
                </c:pt>
                <c:pt idx="5">
                  <c:v>105.407146457484</c:v>
                </c:pt>
                <c:pt idx="6">
                  <c:v>104.694159957445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E-45A8-908C-33C6AEBF771B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loghurricane!$H$13:$H$19</c:f>
              <c:numCache>
                <c:formatCode>General</c:formatCode>
                <c:ptCount val="7"/>
                <c:pt idx="0">
                  <c:v>74.2531398799957</c:v>
                </c:pt>
                <c:pt idx="1">
                  <c:v>72.5877662323865</c:v>
                </c:pt>
                <c:pt idx="2">
                  <c:v>72.112791683379001</c:v>
                </c:pt>
                <c:pt idx="3">
                  <c:v>71.350192668397696</c:v>
                </c:pt>
                <c:pt idx="4">
                  <c:v>71.058349659143602</c:v>
                </c:pt>
                <c:pt idx="5">
                  <c:v>71.129508045135694</c:v>
                </c:pt>
                <c:pt idx="6">
                  <c:v>70.780735683986705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3E-45A8-908C-33C6AEBF771B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loghurricane!$H$24:$H$30</c:f>
              <c:numCache>
                <c:formatCode>General</c:formatCode>
                <c:ptCount val="7"/>
                <c:pt idx="0">
                  <c:v>55.085847146009399</c:v>
                </c:pt>
                <c:pt idx="1">
                  <c:v>53.477470789401899</c:v>
                </c:pt>
                <c:pt idx="2">
                  <c:v>47.076858122481902</c:v>
                </c:pt>
                <c:pt idx="3">
                  <c:v>46.366687085256601</c:v>
                </c:pt>
                <c:pt idx="4">
                  <c:v>43.177588535945802</c:v>
                </c:pt>
                <c:pt idx="5">
                  <c:v>39.606452515578901</c:v>
                </c:pt>
                <c:pt idx="6">
                  <c:v>33.724145156304203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3E-45A8-908C-33C6AEBF771B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loghurricane!$H$35:$H$41</c:f>
              <c:numCache>
                <c:formatCode>General</c:formatCode>
                <c:ptCount val="7"/>
                <c:pt idx="0">
                  <c:v>244.30140781783601</c:v>
                </c:pt>
                <c:pt idx="1">
                  <c:v>243.735107808278</c:v>
                </c:pt>
                <c:pt idx="2">
                  <c:v>237.45624542068799</c:v>
                </c:pt>
                <c:pt idx="3">
                  <c:v>234.357920569453</c:v>
                </c:pt>
                <c:pt idx="4">
                  <c:v>228.537544662535</c:v>
                </c:pt>
                <c:pt idx="5">
                  <c:v>226.53298755214101</c:v>
                </c:pt>
                <c:pt idx="6">
                  <c:v>225.75750999138901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3E-45A8-908C-33C6AEBF771B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loghurricane!$H$47:$H$53</c:f>
              <c:numCache>
                <c:formatCode>General</c:formatCode>
                <c:ptCount val="7"/>
                <c:pt idx="0">
                  <c:v>296.16828838607501</c:v>
                </c:pt>
                <c:pt idx="1">
                  <c:v>202.16017058497999</c:v>
                </c:pt>
                <c:pt idx="2">
                  <c:v>139.39493744120199</c:v>
                </c:pt>
                <c:pt idx="3">
                  <c:v>123.623558459837</c:v>
                </c:pt>
                <c:pt idx="4">
                  <c:v>115.778610621296</c:v>
                </c:pt>
                <c:pt idx="5">
                  <c:v>104.95836210898899</c:v>
                </c:pt>
                <c:pt idx="6">
                  <c:v>113.64188030331999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3E-45A8-908C-33C6AEBF771B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loghurricane!$H$58:$H$64</c:f>
              <c:numCache>
                <c:formatCode>General</c:formatCode>
                <c:ptCount val="7"/>
                <c:pt idx="0">
                  <c:v>183.04949709772799</c:v>
                </c:pt>
                <c:pt idx="1">
                  <c:v>183.61353197896301</c:v>
                </c:pt>
                <c:pt idx="2">
                  <c:v>183.06574473549301</c:v>
                </c:pt>
                <c:pt idx="3">
                  <c:v>185.091409883392</c:v>
                </c:pt>
                <c:pt idx="4">
                  <c:v>184.809114656682</c:v>
                </c:pt>
                <c:pt idx="5">
                  <c:v>182.999692869716</c:v>
                </c:pt>
                <c:pt idx="6">
                  <c:v>177.913452174865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73E-45A8-908C-33C6AEBF7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loghurricane!$A$3:$A$9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loghurricane!$I$3:$I$9</c:f>
              <c:numCache>
                <c:formatCode>General</c:formatCode>
                <c:ptCount val="7"/>
                <c:pt idx="0">
                  <c:v>68.8198320447529</c:v>
                </c:pt>
                <c:pt idx="1">
                  <c:v>65.383477511488195</c:v>
                </c:pt>
                <c:pt idx="2">
                  <c:v>56.837993827743297</c:v>
                </c:pt>
                <c:pt idx="3">
                  <c:v>55.579981873497701</c:v>
                </c:pt>
                <c:pt idx="4">
                  <c:v>52.639381704901403</c:v>
                </c:pt>
                <c:pt idx="5">
                  <c:v>52.039630914422602</c:v>
                </c:pt>
                <c:pt idx="6">
                  <c:v>51.767220876834699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2-4423-9EE6-C2190807F03D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loghurricane!$I$13:$I$19</c:f>
              <c:numCache>
                <c:formatCode>General</c:formatCode>
                <c:ptCount val="7"/>
                <c:pt idx="0">
                  <c:v>54.3015003811621</c:v>
                </c:pt>
                <c:pt idx="1">
                  <c:v>52.272258502148702</c:v>
                </c:pt>
                <c:pt idx="2">
                  <c:v>47.494546364731498</c:v>
                </c:pt>
                <c:pt idx="3">
                  <c:v>46.106800762461901</c:v>
                </c:pt>
                <c:pt idx="4">
                  <c:v>44.138485722113302</c:v>
                </c:pt>
                <c:pt idx="5">
                  <c:v>43.966840767805003</c:v>
                </c:pt>
                <c:pt idx="6">
                  <c:v>43.609967680067797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2-4423-9EE6-C2190807F03D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loghurricane!$I$24:$I$30</c:f>
              <c:numCache>
                <c:formatCode>General</c:formatCode>
                <c:ptCount val="7"/>
                <c:pt idx="0">
                  <c:v>67.686199986120201</c:v>
                </c:pt>
                <c:pt idx="1">
                  <c:v>59.247024761078499</c:v>
                </c:pt>
                <c:pt idx="2">
                  <c:v>47.3085310759135</c:v>
                </c:pt>
                <c:pt idx="3">
                  <c:v>42.851870527441001</c:v>
                </c:pt>
                <c:pt idx="4">
                  <c:v>35.289997460984303</c:v>
                </c:pt>
                <c:pt idx="5">
                  <c:v>35.208303178968997</c:v>
                </c:pt>
                <c:pt idx="6">
                  <c:v>27.7772614616593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2-4423-9EE6-C2190807F03D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loghurricane!$I$35:$I$41</c:f>
              <c:numCache>
                <c:formatCode>General</c:formatCode>
                <c:ptCount val="7"/>
                <c:pt idx="0">
                  <c:v>384.146843295444</c:v>
                </c:pt>
                <c:pt idx="1">
                  <c:v>376.368798511092</c:v>
                </c:pt>
                <c:pt idx="2">
                  <c:v>290.04379428760097</c:v>
                </c:pt>
                <c:pt idx="3">
                  <c:v>274.85426072143099</c:v>
                </c:pt>
                <c:pt idx="4">
                  <c:v>252.748206294185</c:v>
                </c:pt>
                <c:pt idx="5">
                  <c:v>239.88109323040001</c:v>
                </c:pt>
                <c:pt idx="6">
                  <c:v>212.98798421160799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2-4423-9EE6-C2190807F03D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loghurricane!$I$47:$I$53</c:f>
              <c:numCache>
                <c:formatCode>General</c:formatCode>
                <c:ptCount val="7"/>
                <c:pt idx="0">
                  <c:v>337.76041602393298</c:v>
                </c:pt>
                <c:pt idx="1">
                  <c:v>235.24942776737001</c:v>
                </c:pt>
                <c:pt idx="2">
                  <c:v>189.37070774658099</c:v>
                </c:pt>
                <c:pt idx="3">
                  <c:v>173.59539979341801</c:v>
                </c:pt>
                <c:pt idx="4">
                  <c:v>166.08692277243401</c:v>
                </c:pt>
                <c:pt idx="5">
                  <c:v>153.55332987151701</c:v>
                </c:pt>
                <c:pt idx="6">
                  <c:v>145.117834923918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2-4423-9EE6-C2190807F03D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loghurricane!$I$58:$I$64</c:f>
              <c:numCache>
                <c:formatCode>General</c:formatCode>
                <c:ptCount val="7"/>
                <c:pt idx="0">
                  <c:v>147.718687821316</c:v>
                </c:pt>
                <c:pt idx="1">
                  <c:v>149.95878707613701</c:v>
                </c:pt>
                <c:pt idx="2">
                  <c:v>147.56251482000101</c:v>
                </c:pt>
                <c:pt idx="3">
                  <c:v>149.402718001191</c:v>
                </c:pt>
                <c:pt idx="4">
                  <c:v>149.07125387196501</c:v>
                </c:pt>
                <c:pt idx="5">
                  <c:v>147.613069460703</c:v>
                </c:pt>
                <c:pt idx="6">
                  <c:v>143.94664916376101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82-4423-9EE6-C2190807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loghurricane!$A$1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loghurricane!$Q$3:$Q$9</c:f>
              <c:numCache>
                <c:formatCode>General</c:formatCode>
                <c:ptCount val="7"/>
                <c:pt idx="0">
                  <c:v>1.124614538957788</c:v>
                </c:pt>
                <c:pt idx="1">
                  <c:v>1.3687358165856847</c:v>
                </c:pt>
                <c:pt idx="2">
                  <c:v>2.0441894115217232</c:v>
                </c:pt>
                <c:pt idx="3">
                  <c:v>2.8138524529636468</c:v>
                </c:pt>
                <c:pt idx="4">
                  <c:v>3.9874586848514375</c:v>
                </c:pt>
                <c:pt idx="5">
                  <c:v>4.7149872672656938</c:v>
                </c:pt>
                <c:pt idx="6">
                  <c:v>5.3758569264931033</c:v>
                </c:pt>
              </c:numCache>
            </c:numRef>
          </c:xVal>
          <c:yVal>
            <c:numRef>
              <c:f>loghurricane!$D$3:$D$9</c:f>
              <c:numCache>
                <c:formatCode>General</c:formatCode>
                <c:ptCount val="7"/>
                <c:pt idx="0">
                  <c:v>45.603945504825603</c:v>
                </c:pt>
                <c:pt idx="1">
                  <c:v>49.989555185479098</c:v>
                </c:pt>
                <c:pt idx="2">
                  <c:v>64.619509580308701</c:v>
                </c:pt>
                <c:pt idx="3">
                  <c:v>70.1946634874745</c:v>
                </c:pt>
                <c:pt idx="4">
                  <c:v>85.328305628275103</c:v>
                </c:pt>
                <c:pt idx="5">
                  <c:v>90.194815735469504</c:v>
                </c:pt>
                <c:pt idx="6">
                  <c:v>104.081028359439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D0-44EF-871D-F7933FBFF859}"/>
            </c:ext>
          </c:extLst>
        </c:ser>
        <c:ser>
          <c:idx val="1"/>
          <c:order val="1"/>
          <c:tx>
            <c:strRef>
              <c:f>loghurricane!$A$11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loghurricane!$Q$13:$Q$19</c:f>
              <c:numCache>
                <c:formatCode>General</c:formatCode>
                <c:ptCount val="7"/>
                <c:pt idx="0">
                  <c:v>0.88563273424371514</c:v>
                </c:pt>
                <c:pt idx="1">
                  <c:v>1.1009560376624252</c:v>
                </c:pt>
                <c:pt idx="2">
                  <c:v>1.9180661068050895</c:v>
                </c:pt>
                <c:pt idx="3">
                  <c:v>2.6818731310980777</c:v>
                </c:pt>
                <c:pt idx="4">
                  <c:v>4.5754068745441243</c:v>
                </c:pt>
                <c:pt idx="5">
                  <c:v>4.7123106719873764</c:v>
                </c:pt>
                <c:pt idx="6">
                  <c:v>6.269030193584749</c:v>
                </c:pt>
              </c:numCache>
            </c:numRef>
          </c:xVal>
          <c:yVal>
            <c:numRef>
              <c:f>loghurricane!$D$13:$D$19</c:f>
              <c:numCache>
                <c:formatCode>General</c:formatCode>
                <c:ptCount val="7"/>
                <c:pt idx="0">
                  <c:v>51.730207707064402</c:v>
                </c:pt>
                <c:pt idx="1">
                  <c:v>56.399689945277501</c:v>
                </c:pt>
                <c:pt idx="2">
                  <c:v>68.0538502553418</c:v>
                </c:pt>
                <c:pt idx="3">
                  <c:v>73.291522769353705</c:v>
                </c:pt>
                <c:pt idx="4">
                  <c:v>86.454779893871205</c:v>
                </c:pt>
                <c:pt idx="5">
                  <c:v>92.450655477002101</c:v>
                </c:pt>
                <c:pt idx="6">
                  <c:v>106.314946606646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D0-44EF-871D-F7933FBFF859}"/>
            </c:ext>
          </c:extLst>
        </c:ser>
        <c:ser>
          <c:idx val="2"/>
          <c:order val="2"/>
          <c:tx>
            <c:strRef>
              <c:f>loghurricane!$A$22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loghurricane!$Q$24:$Q$30</c:f>
              <c:numCache>
                <c:formatCode>General</c:formatCode>
                <c:ptCount val="7"/>
                <c:pt idx="0">
                  <c:v>2.2237020937989134</c:v>
                </c:pt>
                <c:pt idx="1">
                  <c:v>3.0765464148290187</c:v>
                </c:pt>
                <c:pt idx="2">
                  <c:v>5.4112565172065317</c:v>
                </c:pt>
                <c:pt idx="3">
                  <c:v>6.378704854592339</c:v>
                </c:pt>
                <c:pt idx="4">
                  <c:v>8.4371722363241677</c:v>
                </c:pt>
                <c:pt idx="5">
                  <c:v>9.2581308073864772</c:v>
                </c:pt>
                <c:pt idx="6">
                  <c:v>11.186748333315711</c:v>
                </c:pt>
              </c:numCache>
            </c:numRef>
          </c:xVal>
          <c:yVal>
            <c:numRef>
              <c:f>loghurricane!$D$24:$D$30</c:f>
              <c:numCache>
                <c:formatCode>General</c:formatCode>
                <c:ptCount val="7"/>
                <c:pt idx="0">
                  <c:v>45.603935738165298</c:v>
                </c:pt>
                <c:pt idx="1">
                  <c:v>49.989527924260202</c:v>
                </c:pt>
                <c:pt idx="2">
                  <c:v>64.619836743743093</c:v>
                </c:pt>
                <c:pt idx="3">
                  <c:v>70.194543870966498</c:v>
                </c:pt>
                <c:pt idx="4">
                  <c:v>85.328305625041807</c:v>
                </c:pt>
                <c:pt idx="5">
                  <c:v>90.194816132163695</c:v>
                </c:pt>
                <c:pt idx="6">
                  <c:v>104.28764819849501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9D0-44EF-871D-F7933FBFF859}"/>
            </c:ext>
          </c:extLst>
        </c:ser>
        <c:ser>
          <c:idx val="3"/>
          <c:order val="3"/>
          <c:tx>
            <c:strRef>
              <c:f>loghurricane!$A$33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loghurricane!$Q$35:$Q$41</c:f>
              <c:numCache>
                <c:formatCode>General</c:formatCode>
                <c:ptCount val="7"/>
                <c:pt idx="0">
                  <c:v>9.7211101846626686</c:v>
                </c:pt>
                <c:pt idx="1">
                  <c:v>10.414535372254708</c:v>
                </c:pt>
                <c:pt idx="2">
                  <c:v>12.073867392285393</c:v>
                </c:pt>
                <c:pt idx="3">
                  <c:v>12.891988147620889</c:v>
                </c:pt>
                <c:pt idx="4">
                  <c:v>14.914416349845517</c:v>
                </c:pt>
                <c:pt idx="5">
                  <c:v>15.693106903340325</c:v>
                </c:pt>
                <c:pt idx="6">
                  <c:v>16.490703557469907</c:v>
                </c:pt>
              </c:numCache>
            </c:numRef>
          </c:xVal>
          <c:yVal>
            <c:numRef>
              <c:f>loghurricane!$D$35:$D$39</c:f>
              <c:numCache>
                <c:formatCode>General</c:formatCode>
                <c:ptCount val="5"/>
                <c:pt idx="0">
                  <c:v>38.541220794972602</c:v>
                </c:pt>
                <c:pt idx="1">
                  <c:v>40.483986359038099</c:v>
                </c:pt>
                <c:pt idx="2">
                  <c:v>51.861742326506203</c:v>
                </c:pt>
                <c:pt idx="3">
                  <c:v>54.2883005705974</c:v>
                </c:pt>
                <c:pt idx="4">
                  <c:v>62.081078368603102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9D0-44EF-871D-F7933FBFF859}"/>
            </c:ext>
          </c:extLst>
        </c:ser>
        <c:ser>
          <c:idx val="4"/>
          <c:order val="4"/>
          <c:tx>
            <c:strRef>
              <c:f>loghurricane!$A$44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loghurricane!$Q$46:$Q$53</c:f>
              <c:numCache>
                <c:formatCode>General</c:formatCode>
                <c:ptCount val="8"/>
                <c:pt idx="0">
                  <c:v>0.33562408353711204</c:v>
                </c:pt>
                <c:pt idx="1">
                  <c:v>0.80534940429330726</c:v>
                </c:pt>
                <c:pt idx="2">
                  <c:v>1.8951213038169656</c:v>
                </c:pt>
                <c:pt idx="3">
                  <c:v>3.6494600216519739</c:v>
                </c:pt>
                <c:pt idx="4">
                  <c:v>5.2686302362032302</c:v>
                </c:pt>
                <c:pt idx="5">
                  <c:v>6.8891707875746837</c:v>
                </c:pt>
                <c:pt idx="6">
                  <c:v>10.129689522319687</c:v>
                </c:pt>
                <c:pt idx="7">
                  <c:v>13.368404139795723</c:v>
                </c:pt>
              </c:numCache>
            </c:numRef>
          </c:xVal>
          <c:yVal>
            <c:numRef>
              <c:f>loghurricane!$D$46:$D$53</c:f>
              <c:numCache>
                <c:formatCode>General</c:formatCode>
                <c:ptCount val="8"/>
                <c:pt idx="0">
                  <c:v>20.8581025115855</c:v>
                </c:pt>
                <c:pt idx="1">
                  <c:v>23.671883343064799</c:v>
                </c:pt>
                <c:pt idx="2">
                  <c:v>28.361358983163999</c:v>
                </c:pt>
                <c:pt idx="3">
                  <c:v>38.622028175530303</c:v>
                </c:pt>
                <c:pt idx="4">
                  <c:v>50.372993698511301</c:v>
                </c:pt>
                <c:pt idx="5">
                  <c:v>62.160091672510099</c:v>
                </c:pt>
                <c:pt idx="6">
                  <c:v>86.056820848934294</c:v>
                </c:pt>
                <c:pt idx="7">
                  <c:v>110.13437955077799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9D0-44EF-871D-F7933FBFF859}"/>
            </c:ext>
          </c:extLst>
        </c:ser>
        <c:ser>
          <c:idx val="5"/>
          <c:order val="5"/>
          <c:tx>
            <c:strRef>
              <c:f>loghurricane!$A$56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loghurricane!$Q$58:$Q$64</c:f>
              <c:numCache>
                <c:formatCode>General</c:formatCode>
                <c:ptCount val="7"/>
                <c:pt idx="0">
                  <c:v>1.8099293347754877</c:v>
                </c:pt>
                <c:pt idx="1">
                  <c:v>2.2714096388559581</c:v>
                </c:pt>
                <c:pt idx="2">
                  <c:v>3.2787942303326134</c:v>
                </c:pt>
                <c:pt idx="3">
                  <c:v>3.7477589527656892</c:v>
                </c:pt>
                <c:pt idx="4">
                  <c:v>5.046059720423572</c:v>
                </c:pt>
                <c:pt idx="5">
                  <c:v>5.7286051410853904</c:v>
                </c:pt>
                <c:pt idx="6">
                  <c:v>7.4067552866662378</c:v>
                </c:pt>
              </c:numCache>
            </c:numRef>
          </c:xVal>
          <c:yVal>
            <c:numRef>
              <c:f>loghurricane!$D$58:$D$64</c:f>
              <c:numCache>
                <c:formatCode>General</c:formatCode>
                <c:ptCount val="7"/>
                <c:pt idx="0">
                  <c:v>45.997105434116797</c:v>
                </c:pt>
                <c:pt idx="1">
                  <c:v>51.848323645932801</c:v>
                </c:pt>
                <c:pt idx="2">
                  <c:v>65.654161684413495</c:v>
                </c:pt>
                <c:pt idx="3">
                  <c:v>71.552214982662505</c:v>
                </c:pt>
                <c:pt idx="4">
                  <c:v>85.608277438578497</c:v>
                </c:pt>
                <c:pt idx="5">
                  <c:v>67.0549340347374</c:v>
                </c:pt>
                <c:pt idx="6">
                  <c:v>5.0189939169686797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9D0-44EF-871D-F7933FBFF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lognyx!$C$3:$C$9</c:f>
              <c:numCache>
                <c:formatCode>General</c:formatCode>
                <c:ptCount val="7"/>
                <c:pt idx="0">
                  <c:v>1.5401941548154501</c:v>
                </c:pt>
                <c:pt idx="1">
                  <c:v>1.76174679927974</c:v>
                </c:pt>
                <c:pt idx="2">
                  <c:v>2.5174736535823401</c:v>
                </c:pt>
                <c:pt idx="3">
                  <c:v>1.6997568360234701</c:v>
                </c:pt>
                <c:pt idx="4">
                  <c:v>3.0978195239875199</c:v>
                </c:pt>
                <c:pt idx="5">
                  <c:v>3.82695765232658</c:v>
                </c:pt>
                <c:pt idx="6">
                  <c:v>6.01568070314101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45.417602510623603</c:v>
                </c:pt>
                <c:pt idx="1">
                  <c:v>51.263930166983698</c:v>
                </c:pt>
                <c:pt idx="2">
                  <c:v>64.590571417705604</c:v>
                </c:pt>
                <c:pt idx="3">
                  <c:v>70.850725808359599</c:v>
                </c:pt>
                <c:pt idx="4">
                  <c:v>84.771016838298806</c:v>
                </c:pt>
                <c:pt idx="5">
                  <c:v>90.792014324597204</c:v>
                </c:pt>
                <c:pt idx="6">
                  <c:v>104.77131042573799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8B-49E2-B6EB-F64C33CE994F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lognyx!$C$13:$C$19</c:f>
              <c:numCache>
                <c:formatCode>General</c:formatCode>
                <c:ptCount val="7"/>
                <c:pt idx="0">
                  <c:v>1.4519631427477999</c:v>
                </c:pt>
                <c:pt idx="1">
                  <c:v>1.62409035811351</c:v>
                </c:pt>
                <c:pt idx="2">
                  <c:v>2.2244300956379499</c:v>
                </c:pt>
                <c:pt idx="3">
                  <c:v>2.7245882883174</c:v>
                </c:pt>
                <c:pt idx="4">
                  <c:v>2.8556095675581998</c:v>
                </c:pt>
                <c:pt idx="5">
                  <c:v>3.49594130140555</c:v>
                </c:pt>
                <c:pt idx="6">
                  <c:v>5.6986937165625298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51.437552483464501</c:v>
                </c:pt>
                <c:pt idx="1">
                  <c:v>56.408629792193203</c:v>
                </c:pt>
                <c:pt idx="2">
                  <c:v>68.708261674061504</c:v>
                </c:pt>
                <c:pt idx="3">
                  <c:v>73.001681450388006</c:v>
                </c:pt>
                <c:pt idx="4">
                  <c:v>85.752986979018004</c:v>
                </c:pt>
                <c:pt idx="5">
                  <c:v>91.241665104474606</c:v>
                </c:pt>
                <c:pt idx="6">
                  <c:v>104.820638546257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8B-49E2-B6EB-F64C33CE994F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lognyx!$C$24:$C$30</c:f>
              <c:numCache>
                <c:formatCode>General</c:formatCode>
                <c:ptCount val="7"/>
                <c:pt idx="0">
                  <c:v>2.8921619043599698</c:v>
                </c:pt>
                <c:pt idx="1">
                  <c:v>3.5923319261600501</c:v>
                </c:pt>
                <c:pt idx="2">
                  <c:v>5.6525504910895998</c:v>
                </c:pt>
                <c:pt idx="3">
                  <c:v>6.5390316451295396</c:v>
                </c:pt>
                <c:pt idx="4">
                  <c:v>8.7689942059671306</c:v>
                </c:pt>
                <c:pt idx="5">
                  <c:v>9.7586438564313003</c:v>
                </c:pt>
                <c:pt idx="6">
                  <c:v>12.089292527546901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45.417602269984997</c:v>
                </c:pt>
                <c:pt idx="1">
                  <c:v>51.263931110121902</c:v>
                </c:pt>
                <c:pt idx="2">
                  <c:v>64.590571259838001</c:v>
                </c:pt>
                <c:pt idx="3">
                  <c:v>70.844802034572794</c:v>
                </c:pt>
                <c:pt idx="4">
                  <c:v>84.779815039813101</c:v>
                </c:pt>
                <c:pt idx="5">
                  <c:v>90.768556443653793</c:v>
                </c:pt>
                <c:pt idx="6">
                  <c:v>104.786477612806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8B-49E2-B6EB-F64C33CE994F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lognyx!$C$35:$C$39</c:f>
              <c:numCache>
                <c:formatCode>General</c:formatCode>
                <c:ptCount val="5"/>
                <c:pt idx="0">
                  <c:v>17.661525763887099</c:v>
                </c:pt>
                <c:pt idx="1">
                  <c:v>18.793198723581799</c:v>
                </c:pt>
                <c:pt idx="2">
                  <c:v>21.466587357211701</c:v>
                </c:pt>
                <c:pt idx="3">
                  <c:v>17.954301838045101</c:v>
                </c:pt>
                <c:pt idx="4">
                  <c:v>20.586604195344599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0">
                  <c:v>74.681873045503593</c:v>
                </c:pt>
                <c:pt idx="1">
                  <c:v>80.692338643227401</c:v>
                </c:pt>
                <c:pt idx="2">
                  <c:v>92.726480206559003</c:v>
                </c:pt>
                <c:pt idx="3">
                  <c:v>98.747378622133297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8B-49E2-B6EB-F64C33CE994F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8B-49E2-B6EB-F64C33CE994F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lognyx!$C$58:$C$64</c:f>
              <c:numCache>
                <c:formatCode>General</c:formatCode>
                <c:ptCount val="7"/>
                <c:pt idx="0">
                  <c:v>2.8504786060759399</c:v>
                </c:pt>
                <c:pt idx="1">
                  <c:v>3.26922346599761</c:v>
                </c:pt>
                <c:pt idx="2">
                  <c:v>4.3429592674222102</c:v>
                </c:pt>
                <c:pt idx="3">
                  <c:v>4.8866279526536402</c:v>
                </c:pt>
                <c:pt idx="4">
                  <c:v>6.5663322559463104</c:v>
                </c:pt>
                <c:pt idx="5">
                  <c:v>7.4329846194966596</c:v>
                </c:pt>
                <c:pt idx="6">
                  <c:v>9.5554156118973097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45.417602807288098</c:v>
                </c:pt>
                <c:pt idx="1">
                  <c:v>51.263930452142198</c:v>
                </c:pt>
                <c:pt idx="2">
                  <c:v>64.590571417673203</c:v>
                </c:pt>
                <c:pt idx="3">
                  <c:v>70.844802205676004</c:v>
                </c:pt>
                <c:pt idx="4">
                  <c:v>84.779814893776404</c:v>
                </c:pt>
                <c:pt idx="5">
                  <c:v>90.768556244455198</c:v>
                </c:pt>
                <c:pt idx="6">
                  <c:v>62.275722240997602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8B-49E2-B6EB-F64C33CE9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lognyx!$H$3:$H$9</c:f>
              <c:numCache>
                <c:formatCode>General</c:formatCode>
                <c:ptCount val="7"/>
                <c:pt idx="0">
                  <c:v>115.92931923633201</c:v>
                </c:pt>
                <c:pt idx="1">
                  <c:v>114.18335062546799</c:v>
                </c:pt>
                <c:pt idx="2">
                  <c:v>108.790776187764</c:v>
                </c:pt>
                <c:pt idx="3">
                  <c:v>108.93382115694401</c:v>
                </c:pt>
                <c:pt idx="4">
                  <c:v>102.88105371115201</c:v>
                </c:pt>
                <c:pt idx="5">
                  <c:v>101.788801596292</c:v>
                </c:pt>
                <c:pt idx="6">
                  <c:v>98.522551587730206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F-4BA1-A6D0-1D6C7FF6DDF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lognyx!$H$13:$H$19</c:f>
              <c:numCache>
                <c:formatCode>General</c:formatCode>
                <c:ptCount val="7"/>
                <c:pt idx="0">
                  <c:v>69.705487472454905</c:v>
                </c:pt>
                <c:pt idx="1">
                  <c:v>69.138460377585801</c:v>
                </c:pt>
                <c:pt idx="2">
                  <c:v>68.678402105188397</c:v>
                </c:pt>
                <c:pt idx="3">
                  <c:v>67.098677171631394</c:v>
                </c:pt>
                <c:pt idx="4">
                  <c:v>65.582707454683899</c:v>
                </c:pt>
                <c:pt idx="5">
                  <c:v>64.310761489966296</c:v>
                </c:pt>
                <c:pt idx="6">
                  <c:v>63.0071760319885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F-4BA1-A6D0-1D6C7FF6DDF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lognyx!$H$24:$H$30</c:f>
              <c:numCache>
                <c:formatCode>General</c:formatCode>
                <c:ptCount val="7"/>
                <c:pt idx="0">
                  <c:v>139.31073060486199</c:v>
                </c:pt>
                <c:pt idx="1">
                  <c:v>125.054335951241</c:v>
                </c:pt>
                <c:pt idx="2">
                  <c:v>100.21591979866599</c:v>
                </c:pt>
                <c:pt idx="3">
                  <c:v>92.3876146534854</c:v>
                </c:pt>
                <c:pt idx="4">
                  <c:v>75.2140922703326</c:v>
                </c:pt>
                <c:pt idx="5">
                  <c:v>68.895235682823596</c:v>
                </c:pt>
                <c:pt idx="6">
                  <c:v>58.424082478740402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0F-4BA1-A6D0-1D6C7FF6DDF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lognyx!$H$35:$H$41</c:f>
              <c:numCache>
                <c:formatCode>General</c:formatCode>
                <c:ptCount val="7"/>
                <c:pt idx="0">
                  <c:v>157.591729280789</c:v>
                </c:pt>
                <c:pt idx="1">
                  <c:v>157.31541391133999</c:v>
                </c:pt>
                <c:pt idx="2">
                  <c:v>157.90219863041199</c:v>
                </c:pt>
                <c:pt idx="3">
                  <c:v>159.35422239877801</c:v>
                </c:pt>
                <c:pt idx="4">
                  <c:v>156.93764142464099</c:v>
                </c:pt>
                <c:pt idx="5">
                  <c:v>155.532238105326</c:v>
                </c:pt>
                <c:pt idx="6">
                  <c:v>151.04190948582601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0F-4BA1-A6D0-1D6C7FF6DDF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lognyx!$H$47:$H$53</c:f>
              <c:numCache>
                <c:formatCode>General</c:formatCode>
                <c:ptCount val="7"/>
                <c:pt idx="0">
                  <c:v>261.235293915748</c:v>
                </c:pt>
                <c:pt idx="1">
                  <c:v>147.10516841600099</c:v>
                </c:pt>
                <c:pt idx="2">
                  <c:v>101.518427258302</c:v>
                </c:pt>
                <c:pt idx="3">
                  <c:v>93.714140443255602</c:v>
                </c:pt>
                <c:pt idx="4">
                  <c:v>90.532674898962199</c:v>
                </c:pt>
                <c:pt idx="5">
                  <c:v>85.202620109746505</c:v>
                </c:pt>
                <c:pt idx="6">
                  <c:v>87.682526427011894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0F-4BA1-A6D0-1D6C7FF6DDF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lognyx!$H$58:$H$64</c:f>
              <c:numCache>
                <c:formatCode>General</c:formatCode>
                <c:ptCount val="7"/>
                <c:pt idx="0">
                  <c:v>158.26422787722501</c:v>
                </c:pt>
                <c:pt idx="1">
                  <c:v>158.11898538816999</c:v>
                </c:pt>
                <c:pt idx="2">
                  <c:v>157.808448016413</c:v>
                </c:pt>
                <c:pt idx="3">
                  <c:v>157.724155913391</c:v>
                </c:pt>
                <c:pt idx="4">
                  <c:v>157.20802049112501</c:v>
                </c:pt>
                <c:pt idx="5">
                  <c:v>156.99421318814399</c:v>
                </c:pt>
                <c:pt idx="6">
                  <c:v>156.54386839418501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0F-4BA1-A6D0-1D6C7FF6D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lognyx!$A$3:$A$9</c:f>
              <c:numCache>
                <c:formatCode>0.00E+00</c:formatCode>
                <c:ptCount val="7"/>
                <c:pt idx="0">
                  <c:v>0.01</c:v>
                </c:pt>
                <c:pt idx="1">
                  <c:v>5.0000000000000001E-3</c:v>
                </c:pt>
                <c:pt idx="2">
                  <c:v>1E-3</c:v>
                </c:pt>
                <c:pt idx="3">
                  <c:v>5.0000000000000001E-4</c:v>
                </c:pt>
                <c:pt idx="4">
                  <c:v>1E-4</c:v>
                </c:pt>
                <c:pt idx="5">
                  <c:v>5.0000000000000002E-5</c:v>
                </c:pt>
                <c:pt idx="6">
                  <c:v>1.0000000000000001E-5</c:v>
                </c:pt>
              </c:numCache>
            </c:numRef>
          </c:cat>
          <c:val>
            <c:numRef>
              <c:f>lognyx!$I$3:$I$9</c:f>
              <c:numCache>
                <c:formatCode>General</c:formatCode>
                <c:ptCount val="7"/>
                <c:pt idx="0">
                  <c:v>70.190268318738106</c:v>
                </c:pt>
                <c:pt idx="1">
                  <c:v>68.940512212640996</c:v>
                </c:pt>
                <c:pt idx="2">
                  <c:v>63.956814151195502</c:v>
                </c:pt>
                <c:pt idx="3">
                  <c:v>64.882212240641607</c:v>
                </c:pt>
                <c:pt idx="4">
                  <c:v>56.3413342942548</c:v>
                </c:pt>
                <c:pt idx="5">
                  <c:v>54.0074234944883</c:v>
                </c:pt>
                <c:pt idx="6">
                  <c:v>49.838296232168801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1-4EA3-A92E-24D3CC15C933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lognyx!$I$13:$I$19</c:f>
              <c:numCache>
                <c:formatCode>General</c:formatCode>
                <c:ptCount val="7"/>
                <c:pt idx="0">
                  <c:v>52.566082085488503</c:v>
                </c:pt>
                <c:pt idx="1">
                  <c:v>52.166398355326997</c:v>
                </c:pt>
                <c:pt idx="2">
                  <c:v>49.781865683844799</c:v>
                </c:pt>
                <c:pt idx="3">
                  <c:v>48.148047391505699</c:v>
                </c:pt>
                <c:pt idx="4">
                  <c:v>45.980323306179599</c:v>
                </c:pt>
                <c:pt idx="5">
                  <c:v>44.410317715406698</c:v>
                </c:pt>
                <c:pt idx="6">
                  <c:v>41.316704261440002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1-4EA3-A92E-24D3CC15C933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lognyx!$I$24:$I$30</c:f>
              <c:numCache>
                <c:formatCode>General</c:formatCode>
                <c:ptCount val="7"/>
                <c:pt idx="0">
                  <c:v>175.24276991160301</c:v>
                </c:pt>
                <c:pt idx="1">
                  <c:v>143.945265428325</c:v>
                </c:pt>
                <c:pt idx="2">
                  <c:v>87.939031311777299</c:v>
                </c:pt>
                <c:pt idx="3">
                  <c:v>86.167381555090898</c:v>
                </c:pt>
                <c:pt idx="4">
                  <c:v>82.271026107449103</c:v>
                </c:pt>
                <c:pt idx="5">
                  <c:v>80.326895686630294</c:v>
                </c:pt>
                <c:pt idx="6">
                  <c:v>75.9007655119633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1-4EA3-A92E-24D3CC15C933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lognyx!$I$35:$I$41</c:f>
              <c:numCache>
                <c:formatCode>General</c:formatCode>
                <c:ptCount val="7"/>
                <c:pt idx="0">
                  <c:v>139.36911212134299</c:v>
                </c:pt>
                <c:pt idx="1">
                  <c:v>132.975940981364</c:v>
                </c:pt>
                <c:pt idx="2">
                  <c:v>124.780210305342</c:v>
                </c:pt>
                <c:pt idx="3">
                  <c:v>125.171828348829</c:v>
                </c:pt>
                <c:pt idx="4">
                  <c:v>119.853580359341</c:v>
                </c:pt>
                <c:pt idx="5">
                  <c:v>117.06348245151899</c:v>
                </c:pt>
                <c:pt idx="6">
                  <c:v>107.330876342148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1-4EA3-A92E-24D3CC15C933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lognyx!$I$47:$I$53</c:f>
              <c:numCache>
                <c:formatCode>General</c:formatCode>
                <c:ptCount val="7"/>
                <c:pt idx="0">
                  <c:v>295.24409839365001</c:v>
                </c:pt>
                <c:pt idx="1">
                  <c:v>174.17979732162499</c:v>
                </c:pt>
                <c:pt idx="2">
                  <c:v>139.45783234665399</c:v>
                </c:pt>
                <c:pt idx="3">
                  <c:v>131.56546771364199</c:v>
                </c:pt>
                <c:pt idx="4">
                  <c:v>127.024669876641</c:v>
                </c:pt>
                <c:pt idx="5">
                  <c:v>118.430828522179</c:v>
                </c:pt>
                <c:pt idx="6">
                  <c:v>111.976748893909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A1-4EA3-A92E-24D3CC15C933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lognyx!$I$58:$I$64</c:f>
              <c:numCache>
                <c:formatCode>General</c:formatCode>
                <c:ptCount val="7"/>
                <c:pt idx="0">
                  <c:v>124.72251996017501</c:v>
                </c:pt>
                <c:pt idx="1">
                  <c:v>124.353913587951</c:v>
                </c:pt>
                <c:pt idx="2">
                  <c:v>123.80203764172499</c:v>
                </c:pt>
                <c:pt idx="3">
                  <c:v>123.703630537411</c:v>
                </c:pt>
                <c:pt idx="4">
                  <c:v>123.339672054858</c:v>
                </c:pt>
                <c:pt idx="5">
                  <c:v>123.23541211898601</c:v>
                </c:pt>
                <c:pt idx="6">
                  <c:v>122.975088377942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8A1-4EA3-A92E-24D3CC15C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lognyx!$A$1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lognyx!$Q$3:$Q$9</c:f>
              <c:numCache>
                <c:formatCode>General</c:formatCode>
                <c:ptCount val="7"/>
                <c:pt idx="0">
                  <c:v>1.1488412052198347</c:v>
                </c:pt>
                <c:pt idx="1">
                  <c:v>1.4851752301125425</c:v>
                </c:pt>
                <c:pt idx="2">
                  <c:v>2.4390158025899416</c:v>
                </c:pt>
                <c:pt idx="3">
                  <c:v>1.6795216355946263</c:v>
                </c:pt>
                <c:pt idx="4">
                  <c:v>3.0978195239875199</c:v>
                </c:pt>
                <c:pt idx="5">
                  <c:v>3.82695765232658</c:v>
                </c:pt>
                <c:pt idx="6">
                  <c:v>6.01568070314101</c:v>
                </c:pt>
              </c:numCache>
            </c:numRef>
          </c:xVal>
          <c:yVal>
            <c:numRef>
              <c:f>lognyx!$D$3:$D$9</c:f>
              <c:numCache>
                <c:formatCode>General</c:formatCode>
                <c:ptCount val="7"/>
                <c:pt idx="0">
                  <c:v>45.417602510623603</c:v>
                </c:pt>
                <c:pt idx="1">
                  <c:v>51.263930166983698</c:v>
                </c:pt>
                <c:pt idx="2">
                  <c:v>64.590571417705604</c:v>
                </c:pt>
                <c:pt idx="3">
                  <c:v>70.850725808359599</c:v>
                </c:pt>
                <c:pt idx="4">
                  <c:v>84.771016838298806</c:v>
                </c:pt>
                <c:pt idx="5">
                  <c:v>90.792014324597204</c:v>
                </c:pt>
                <c:pt idx="6">
                  <c:v>104.77131042573799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11-4D12-9C22-DC3DB174C6F1}"/>
            </c:ext>
          </c:extLst>
        </c:ser>
        <c:ser>
          <c:idx val="1"/>
          <c:order val="1"/>
          <c:tx>
            <c:strRef>
              <c:f>lognyx!$A$11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lognyx!$Q$13:$Q$19</c:f>
              <c:numCache>
                <c:formatCode>General</c:formatCode>
                <c:ptCount val="7"/>
                <c:pt idx="0">
                  <c:v>0.50471301902292676</c:v>
                </c:pt>
                <c:pt idx="1">
                  <c:v>0.70979024088343823</c:v>
                </c:pt>
                <c:pt idx="2">
                  <c:v>1.4399119714428474</c:v>
                </c:pt>
                <c:pt idx="3">
                  <c:v>2.269966614469269</c:v>
                </c:pt>
                <c:pt idx="4">
                  <c:v>2.7038350432982323</c:v>
                </c:pt>
                <c:pt idx="5">
                  <c:v>3.4626466223445611</c:v>
                </c:pt>
                <c:pt idx="6">
                  <c:v>5.6986937165625298</c:v>
                </c:pt>
              </c:numCache>
            </c:numRef>
          </c:xVal>
          <c:yVal>
            <c:numRef>
              <c:f>lognyx!$D$13:$D$19</c:f>
              <c:numCache>
                <c:formatCode>General</c:formatCode>
                <c:ptCount val="7"/>
                <c:pt idx="0">
                  <c:v>51.437552483464501</c:v>
                </c:pt>
                <c:pt idx="1">
                  <c:v>56.408629792193203</c:v>
                </c:pt>
                <c:pt idx="2">
                  <c:v>68.708261674061504</c:v>
                </c:pt>
                <c:pt idx="3">
                  <c:v>73.001681450388006</c:v>
                </c:pt>
                <c:pt idx="4">
                  <c:v>85.752986979018004</c:v>
                </c:pt>
                <c:pt idx="5">
                  <c:v>91.241665104474606</c:v>
                </c:pt>
                <c:pt idx="6">
                  <c:v>104.820638546257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11-4D12-9C22-DC3DB174C6F1}"/>
            </c:ext>
          </c:extLst>
        </c:ser>
        <c:ser>
          <c:idx val="2"/>
          <c:order val="2"/>
          <c:tx>
            <c:strRef>
              <c:f>lognyx!$A$22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lognyx!$Q$24:$Q$30</c:f>
              <c:numCache>
                <c:formatCode>General</c:formatCode>
                <c:ptCount val="7"/>
                <c:pt idx="0">
                  <c:v>1.4708160519021611</c:v>
                </c:pt>
                <c:pt idx="1">
                  <c:v>2.155491411959269</c:v>
                </c:pt>
                <c:pt idx="2">
                  <c:v>4.3565830607480445</c:v>
                </c:pt>
                <c:pt idx="3">
                  <c:v>5.5244018197566245</c:v>
                </c:pt>
                <c:pt idx="4">
                  <c:v>8.111851374553698</c:v>
                </c:pt>
                <c:pt idx="5">
                  <c:v>9.1964803466471352</c:v>
                </c:pt>
                <c:pt idx="6">
                  <c:v>11.621455363764667</c:v>
                </c:pt>
              </c:numCache>
            </c:numRef>
          </c:xVal>
          <c:yVal>
            <c:numRef>
              <c:f>lognyx!$D$24:$D$30</c:f>
              <c:numCache>
                <c:formatCode>General</c:formatCode>
                <c:ptCount val="7"/>
                <c:pt idx="0">
                  <c:v>45.417602269984997</c:v>
                </c:pt>
                <c:pt idx="1">
                  <c:v>51.263931110121902</c:v>
                </c:pt>
                <c:pt idx="2">
                  <c:v>64.590571259838001</c:v>
                </c:pt>
                <c:pt idx="3">
                  <c:v>70.844802034572794</c:v>
                </c:pt>
                <c:pt idx="4">
                  <c:v>84.779815039813101</c:v>
                </c:pt>
                <c:pt idx="5">
                  <c:v>90.768556443653793</c:v>
                </c:pt>
                <c:pt idx="6">
                  <c:v>104.786477612806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11-4D12-9C22-DC3DB174C6F1}"/>
            </c:ext>
          </c:extLst>
        </c:ser>
        <c:ser>
          <c:idx val="3"/>
          <c:order val="3"/>
          <c:tx>
            <c:strRef>
              <c:f>lognyx!$A$33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lognyx!$Q$35:$Q$41</c:f>
              <c:numCache>
                <c:formatCode>General</c:formatCode>
                <c:ptCount val="7"/>
                <c:pt idx="0">
                  <c:v>17.544948036072753</c:v>
                </c:pt>
                <c:pt idx="1">
                  <c:v>18.669151207254625</c:v>
                </c:pt>
                <c:pt idx="2">
                  <c:v>20.224718667125259</c:v>
                </c:pt>
                <c:pt idx="3">
                  <c:v>17.954301838045101</c:v>
                </c:pt>
                <c:pt idx="4">
                  <c:v>20.586604195344599</c:v>
                </c:pt>
                <c:pt idx="5">
                  <c:v>21.751895893426699</c:v>
                </c:pt>
                <c:pt idx="6">
                  <c:v>24.094729946868899</c:v>
                </c:pt>
              </c:numCache>
            </c:numRef>
          </c:xVal>
          <c:yVal>
            <c:numRef>
              <c:f>lognyx!$D$35:$D$39</c:f>
              <c:numCache>
                <c:formatCode>General</c:formatCode>
                <c:ptCount val="5"/>
                <c:pt idx="0">
                  <c:v>74.681873045503593</c:v>
                </c:pt>
                <c:pt idx="1">
                  <c:v>80.692338643227401</c:v>
                </c:pt>
                <c:pt idx="2">
                  <c:v>92.726480206559003</c:v>
                </c:pt>
                <c:pt idx="3">
                  <c:v>98.747378622133297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11-4D12-9C22-DC3DB174C6F1}"/>
            </c:ext>
          </c:extLst>
        </c:ser>
        <c:ser>
          <c:idx val="4"/>
          <c:order val="4"/>
          <c:tx>
            <c:strRef>
              <c:f>lognyx!$A$44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lognyx!$Q$46:$Q$53</c:f>
              <c:numCache>
                <c:formatCode>General</c:formatCode>
                <c:ptCount val="8"/>
                <c:pt idx="0">
                  <c:v>0.48635444743935691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lognyx!$D$46:$D$53</c:f>
              <c:numCache>
                <c:formatCode>General</c:formatCode>
                <c:ptCount val="8"/>
                <c:pt idx="0">
                  <c:v>25.927230017526</c:v>
                </c:pt>
                <c:pt idx="1">
                  <c:v>28.0952092547743</c:v>
                </c:pt>
                <c:pt idx="2">
                  <c:v>31.651824247491401</c:v>
                </c:pt>
                <c:pt idx="3">
                  <c:v>42.092352661558799</c:v>
                </c:pt>
                <c:pt idx="4">
                  <c:v>53.875205023612502</c:v>
                </c:pt>
                <c:pt idx="5">
                  <c:v>65.876798563339307</c:v>
                </c:pt>
                <c:pt idx="6">
                  <c:v>89.958433216088693</c:v>
                </c:pt>
                <c:pt idx="7">
                  <c:v>114.040187947137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11-4D12-9C22-DC3DB174C6F1}"/>
            </c:ext>
          </c:extLst>
        </c:ser>
        <c:ser>
          <c:idx val="5"/>
          <c:order val="5"/>
          <c:tx>
            <c:strRef>
              <c:f>lognyx!$A$56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lognyx!$Q$58:$Q$64</c:f>
              <c:numCache>
                <c:formatCode>General</c:formatCode>
                <c:ptCount val="7"/>
                <c:pt idx="0">
                  <c:v>1.5906497593924454</c:v>
                </c:pt>
                <c:pt idx="1">
                  <c:v>2.1294135290819587</c:v>
                </c:pt>
                <c:pt idx="2">
                  <c:v>3.3710425567675473</c:v>
                </c:pt>
                <c:pt idx="3">
                  <c:v>3.9406379415602699</c:v>
                </c:pt>
                <c:pt idx="4">
                  <c:v>5.4461025136152772</c:v>
                </c:pt>
                <c:pt idx="5">
                  <c:v>6.2507996695888419</c:v>
                </c:pt>
                <c:pt idx="6">
                  <c:v>8.1689427177709071</c:v>
                </c:pt>
              </c:numCache>
            </c:numRef>
          </c:xVal>
          <c:yVal>
            <c:numRef>
              <c:f>lognyx!$D$58:$D$64</c:f>
              <c:numCache>
                <c:formatCode>General</c:formatCode>
                <c:ptCount val="7"/>
                <c:pt idx="0">
                  <c:v>45.417602807288098</c:v>
                </c:pt>
                <c:pt idx="1">
                  <c:v>51.263930452142198</c:v>
                </c:pt>
                <c:pt idx="2">
                  <c:v>64.590571417673203</c:v>
                </c:pt>
                <c:pt idx="3">
                  <c:v>70.844802205676004</c:v>
                </c:pt>
                <c:pt idx="4">
                  <c:v>84.779814893776404</c:v>
                </c:pt>
                <c:pt idx="5">
                  <c:v>90.768556244455198</c:v>
                </c:pt>
                <c:pt idx="6">
                  <c:v>62.275722240997602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11-4D12-9C22-DC3DB174C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qmcpack!$C$3:$C$9</c:f>
              <c:numCache>
                <c:formatCode>General</c:formatCode>
                <c:ptCount val="7"/>
                <c:pt idx="0">
                  <c:v>3.8643473047360999</c:v>
                </c:pt>
                <c:pt idx="1">
                  <c:v>2.5194124667142299</c:v>
                </c:pt>
                <c:pt idx="2">
                  <c:v>2.15833170671563</c:v>
                </c:pt>
                <c:pt idx="3">
                  <c:v>1.6684392965213399</c:v>
                </c:pt>
                <c:pt idx="4">
                  <c:v>1.5284291645682599</c:v>
                </c:pt>
                <c:pt idx="5">
                  <c:v>1.2007542988411</c:v>
                </c:pt>
                <c:pt idx="6">
                  <c:v>1.11948286049001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104.825866657969</c:v>
                </c:pt>
                <c:pt idx="1">
                  <c:v>91.000348181682298</c:v>
                </c:pt>
                <c:pt idx="2">
                  <c:v>85.096938408232305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F-4E4A-81AB-5D02D34B05CB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qmcpack!$C$13:$C$19</c:f>
              <c:numCache>
                <c:formatCode>General</c:formatCode>
                <c:ptCount val="7"/>
                <c:pt idx="0">
                  <c:v>2.5688184454650602</c:v>
                </c:pt>
                <c:pt idx="1">
                  <c:v>1.6026012622388</c:v>
                </c:pt>
                <c:pt idx="2">
                  <c:v>1.4163861447513799</c:v>
                </c:pt>
                <c:pt idx="3">
                  <c:v>1.19604152117942</c:v>
                </c:pt>
                <c:pt idx="4">
                  <c:v>1.15468232704572</c:v>
                </c:pt>
                <c:pt idx="5">
                  <c:v>1.1014697702826199</c:v>
                </c:pt>
                <c:pt idx="6">
                  <c:v>1.0921478596188601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105.671699630794</c:v>
                </c:pt>
                <c:pt idx="1">
                  <c:v>93.416352109354804</c:v>
                </c:pt>
                <c:pt idx="2">
                  <c:v>88.824634169360294</c:v>
                </c:pt>
                <c:pt idx="3">
                  <c:v>77.512626785922095</c:v>
                </c:pt>
                <c:pt idx="4">
                  <c:v>73.306080145578505</c:v>
                </c:pt>
                <c:pt idx="5">
                  <c:v>62.878544847709598</c:v>
                </c:pt>
                <c:pt idx="6">
                  <c:v>59.281594174624502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F-4E4A-81AB-5D02D34B05CB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qmcpack!$C$24:$C$30</c:f>
              <c:numCache>
                <c:formatCode>General</c:formatCode>
                <c:ptCount val="7"/>
                <c:pt idx="0">
                  <c:v>8.7899820574491194</c:v>
                </c:pt>
                <c:pt idx="1">
                  <c:v>6.6367501327868501</c:v>
                </c:pt>
                <c:pt idx="2">
                  <c:v>5.7542965714102801</c:v>
                </c:pt>
                <c:pt idx="3">
                  <c:v>3.87924539463866</c:v>
                </c:pt>
                <c:pt idx="4">
                  <c:v>3.1760689556330899</c:v>
                </c:pt>
                <c:pt idx="5">
                  <c:v>1.9095330093810501</c:v>
                </c:pt>
                <c:pt idx="6">
                  <c:v>1.44046867088675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104.825868524358</c:v>
                </c:pt>
                <c:pt idx="1">
                  <c:v>91.000348615698101</c:v>
                </c:pt>
                <c:pt idx="2">
                  <c:v>85.096938982675596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0F-4E4A-81AB-5D02D34B05CB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qmcpack!$C$35:$C$39</c:f>
              <c:numCache>
                <c:formatCode>General</c:formatCode>
                <c:ptCount val="5"/>
                <c:pt idx="0">
                  <c:v>20.094544833441301</c:v>
                </c:pt>
                <c:pt idx="1">
                  <c:v>18.191813342899099</c:v>
                </c:pt>
                <c:pt idx="2">
                  <c:v>17.166230805337602</c:v>
                </c:pt>
                <c:pt idx="3">
                  <c:v>14.124699022526601</c:v>
                </c:pt>
                <c:pt idx="4">
                  <c:v>12.9340327950485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3">
                  <c:v>109.817999808235</c:v>
                </c:pt>
                <c:pt idx="4">
                  <c:v>103.64231508078301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0F-4E4A-81AB-5D02D34B05CB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0F-4E4A-81AB-5D02D34B05CB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qmcpack!$C$58:$C$64</c:f>
              <c:numCache>
                <c:formatCode>General</c:formatCode>
                <c:ptCount val="7"/>
                <c:pt idx="0">
                  <c:v>6.1359457122203098</c:v>
                </c:pt>
                <c:pt idx="1">
                  <c:v>4.4465411120938203</c:v>
                </c:pt>
                <c:pt idx="2">
                  <c:v>3.8754892502405802</c:v>
                </c:pt>
                <c:pt idx="3">
                  <c:v>2.9311016169880002</c:v>
                </c:pt>
                <c:pt idx="4">
                  <c:v>2.6499817192667301</c:v>
                </c:pt>
                <c:pt idx="5">
                  <c:v>2.0425350259650799</c:v>
                </c:pt>
                <c:pt idx="6">
                  <c:v>1.68051948638493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61.991796667126998</c:v>
                </c:pt>
                <c:pt idx="1">
                  <c:v>91.000348181682298</c:v>
                </c:pt>
                <c:pt idx="2">
                  <c:v>85.096938408232305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0F-4E4A-81AB-5D02D34B0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qmcpack!$H$3:$H$9</c:f>
              <c:numCache>
                <c:formatCode>General</c:formatCode>
                <c:ptCount val="7"/>
                <c:pt idx="0">
                  <c:v>103.589347819285</c:v>
                </c:pt>
                <c:pt idx="1">
                  <c:v>105.757516607196</c:v>
                </c:pt>
                <c:pt idx="2">
                  <c:v>106.22136469323399</c:v>
                </c:pt>
                <c:pt idx="3">
                  <c:v>109.464413531826</c:v>
                </c:pt>
                <c:pt idx="4">
                  <c:v>110.808388615976</c:v>
                </c:pt>
                <c:pt idx="5">
                  <c:v>117.66152474395101</c:v>
                </c:pt>
                <c:pt idx="6">
                  <c:v>119.33279651959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F-4307-B035-3D17D439EB27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qmcpack!$H$13:$H$19</c:f>
              <c:numCache>
                <c:formatCode>General</c:formatCode>
                <c:ptCount val="7"/>
                <c:pt idx="0">
                  <c:v>55.2761916458389</c:v>
                </c:pt>
                <c:pt idx="1">
                  <c:v>56.533178918049202</c:v>
                </c:pt>
                <c:pt idx="2">
                  <c:v>56.887742172976601</c:v>
                </c:pt>
                <c:pt idx="3">
                  <c:v>57.578244071505097</c:v>
                </c:pt>
                <c:pt idx="4">
                  <c:v>57.772841557150997</c:v>
                </c:pt>
                <c:pt idx="5">
                  <c:v>58.295119682121097</c:v>
                </c:pt>
                <c:pt idx="6">
                  <c:v>58.464589812273999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F-4307-B035-3D17D439EB27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qmcpack!$H$24:$H$30</c:f>
              <c:numCache>
                <c:formatCode>General</c:formatCode>
                <c:ptCount val="7"/>
                <c:pt idx="0">
                  <c:v>72.995155941788497</c:v>
                </c:pt>
                <c:pt idx="1">
                  <c:v>88.656165816552701</c:v>
                </c:pt>
                <c:pt idx="2">
                  <c:v>96.214942663806099</c:v>
                </c:pt>
                <c:pt idx="3">
                  <c:v>119.57788997670499</c:v>
                </c:pt>
                <c:pt idx="4">
                  <c:v>131.40208791069699</c:v>
                </c:pt>
                <c:pt idx="5">
                  <c:v>152.608775543196</c:v>
                </c:pt>
                <c:pt idx="6">
                  <c:v>160.23011570071401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4F-4307-B035-3D17D439EB27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qmcpack!$H$35:$H$41</c:f>
              <c:numCache>
                <c:formatCode>General</c:formatCode>
                <c:ptCount val="7"/>
                <c:pt idx="0">
                  <c:v>154.84525290814301</c:v>
                </c:pt>
                <c:pt idx="1">
                  <c:v>158.72660591509899</c:v>
                </c:pt>
                <c:pt idx="2">
                  <c:v>160.064096367524</c:v>
                </c:pt>
                <c:pt idx="3">
                  <c:v>162.99890852573199</c:v>
                </c:pt>
                <c:pt idx="4">
                  <c:v>165.389600548792</c:v>
                </c:pt>
                <c:pt idx="5">
                  <c:v>172.89941018263701</c:v>
                </c:pt>
                <c:pt idx="6">
                  <c:v>177.26879713445101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4F-4307-B035-3D17D439EB27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qmcpack!$H$47:$H$53</c:f>
              <c:numCache>
                <c:formatCode>General</c:formatCode>
                <c:ptCount val="7"/>
                <c:pt idx="0">
                  <c:v>258.203130295233</c:v>
                </c:pt>
                <c:pt idx="1">
                  <c:v>192.527431122499</c:v>
                </c:pt>
                <c:pt idx="2">
                  <c:v>105.08841646300201</c:v>
                </c:pt>
                <c:pt idx="3">
                  <c:v>82.939527567856402</c:v>
                </c:pt>
                <c:pt idx="4">
                  <c:v>72.354217159214201</c:v>
                </c:pt>
                <c:pt idx="5">
                  <c:v>64.433741288254296</c:v>
                </c:pt>
                <c:pt idx="6">
                  <c:v>70.422789491602003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4F-4307-B035-3D17D439EB27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qmcpack!$H$58:$H$64</c:f>
              <c:numCache>
                <c:formatCode>General</c:formatCode>
                <c:ptCount val="7"/>
                <c:pt idx="0">
                  <c:v>150.41140699442201</c:v>
                </c:pt>
                <c:pt idx="1">
                  <c:v>150.88859627891699</c:v>
                </c:pt>
                <c:pt idx="2">
                  <c:v>151.03877881166801</c:v>
                </c:pt>
                <c:pt idx="3">
                  <c:v>151.361529373698</c:v>
                </c:pt>
                <c:pt idx="4">
                  <c:v>151.404014033539</c:v>
                </c:pt>
                <c:pt idx="5">
                  <c:v>151.669173964278</c:v>
                </c:pt>
                <c:pt idx="6">
                  <c:v>151.662986889254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4F-4307-B035-3D17D43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qmcpack!$A$3:$A$9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qmcpack!$I$3:$I$9</c:f>
              <c:numCache>
                <c:formatCode>General</c:formatCode>
                <c:ptCount val="7"/>
                <c:pt idx="0">
                  <c:v>47.310547359490897</c:v>
                </c:pt>
                <c:pt idx="1">
                  <c:v>49.746791763582102</c:v>
                </c:pt>
                <c:pt idx="2">
                  <c:v>52.381565622194501</c:v>
                </c:pt>
                <c:pt idx="3">
                  <c:v>56.965865132354203</c:v>
                </c:pt>
                <c:pt idx="4">
                  <c:v>59.543882074619901</c:v>
                </c:pt>
                <c:pt idx="5">
                  <c:v>64.298263306774302</c:v>
                </c:pt>
                <c:pt idx="6">
                  <c:v>65.572284414189795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B-4F30-BBEE-B3A567A11D99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qmcpack!$I$13:$I$19</c:f>
              <c:numCache>
                <c:formatCode>General</c:formatCode>
                <c:ptCount val="7"/>
                <c:pt idx="0">
                  <c:v>37.806287425763998</c:v>
                </c:pt>
                <c:pt idx="1">
                  <c:v>39.232869037910199</c:v>
                </c:pt>
                <c:pt idx="2">
                  <c:v>40.116673665487099</c:v>
                </c:pt>
                <c:pt idx="3">
                  <c:v>42.349165866841702</c:v>
                </c:pt>
                <c:pt idx="4">
                  <c:v>43.501602652187103</c:v>
                </c:pt>
                <c:pt idx="5">
                  <c:v>45.537743020940297</c:v>
                </c:pt>
                <c:pt idx="6">
                  <c:v>46.244163880464498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B-4F30-BBEE-B3A567A11D99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qmcpack!$I$24:$I$30</c:f>
              <c:numCache>
                <c:formatCode>General</c:formatCode>
                <c:ptCount val="7"/>
                <c:pt idx="0">
                  <c:v>82.968532842162801</c:v>
                </c:pt>
                <c:pt idx="1">
                  <c:v>92.972101955571105</c:v>
                </c:pt>
                <c:pt idx="2">
                  <c:v>98.196082873681803</c:v>
                </c:pt>
                <c:pt idx="3">
                  <c:v>109.62131865014</c:v>
                </c:pt>
                <c:pt idx="4">
                  <c:v>115.057525350985</c:v>
                </c:pt>
                <c:pt idx="5">
                  <c:v>142.26344960863401</c:v>
                </c:pt>
                <c:pt idx="6">
                  <c:v>197.00962896955201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B-4F30-BBEE-B3A567A11D99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qmcpack!$I$35:$I$41</c:f>
              <c:numCache>
                <c:formatCode>General</c:formatCode>
                <c:ptCount val="7"/>
                <c:pt idx="0">
                  <c:v>115.33378272501299</c:v>
                </c:pt>
                <c:pt idx="1">
                  <c:v>124.56391223387899</c:v>
                </c:pt>
                <c:pt idx="2">
                  <c:v>128.053984791338</c:v>
                </c:pt>
                <c:pt idx="3">
                  <c:v>134.34115542191699</c:v>
                </c:pt>
                <c:pt idx="4">
                  <c:v>138.47155288815901</c:v>
                </c:pt>
                <c:pt idx="5">
                  <c:v>158.996151501795</c:v>
                </c:pt>
                <c:pt idx="6">
                  <c:v>172.38784824617699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EB-4F30-BBEE-B3A567A11D99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qmcpack!$I$47:$I$53</c:f>
              <c:numCache>
                <c:formatCode>General</c:formatCode>
                <c:ptCount val="7"/>
                <c:pt idx="0">
                  <c:v>335.994122026583</c:v>
                </c:pt>
                <c:pt idx="1">
                  <c:v>235.21605289882299</c:v>
                </c:pt>
                <c:pt idx="2">
                  <c:v>163.25231509898401</c:v>
                </c:pt>
                <c:pt idx="3">
                  <c:v>133.32319579815999</c:v>
                </c:pt>
                <c:pt idx="4">
                  <c:v>119.935674575653</c:v>
                </c:pt>
                <c:pt idx="5">
                  <c:v>108.06808749421199</c:v>
                </c:pt>
                <c:pt idx="6">
                  <c:v>103.020421435654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EB-4F30-BBEE-B3A567A11D99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qmcpack!$I$58:$I$64</c:f>
              <c:numCache>
                <c:formatCode>General</c:formatCode>
                <c:ptCount val="7"/>
                <c:pt idx="0">
                  <c:v>108.98738255180299</c:v>
                </c:pt>
                <c:pt idx="1">
                  <c:v>109.443488717503</c:v>
                </c:pt>
                <c:pt idx="2">
                  <c:v>109.611438821767</c:v>
                </c:pt>
                <c:pt idx="3">
                  <c:v>110.18922634089201</c:v>
                </c:pt>
                <c:pt idx="4">
                  <c:v>110.289191896246</c:v>
                </c:pt>
                <c:pt idx="5">
                  <c:v>110.634857147725</c:v>
                </c:pt>
                <c:pt idx="6">
                  <c:v>110.84127788756599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EB-4F30-BBEE-B3A567A11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qmcpack!$A$1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qmcpack!$Q$3:$Q$9</c:f>
              <c:numCache>
                <c:formatCode>General</c:formatCode>
                <c:ptCount val="7"/>
                <c:pt idx="0">
                  <c:v>3.8643473047360999</c:v>
                </c:pt>
                <c:pt idx="1">
                  <c:v>2.4700122222688528</c:v>
                </c:pt>
                <c:pt idx="2">
                  <c:v>2.0954676764229418</c:v>
                </c:pt>
                <c:pt idx="3">
                  <c:v>1.5306782536893027</c:v>
                </c:pt>
                <c:pt idx="4">
                  <c:v>1.3525921810338586</c:v>
                </c:pt>
                <c:pt idx="5">
                  <c:v>0.90282278108353375</c:v>
                </c:pt>
                <c:pt idx="6">
                  <c:v>0.69533096924845339</c:v>
                </c:pt>
              </c:numCache>
            </c:numRef>
          </c:xVal>
          <c:yVal>
            <c:numRef>
              <c:f>qmcpack!$D$3:$D$9</c:f>
              <c:numCache>
                <c:formatCode>General</c:formatCode>
                <c:ptCount val="7"/>
                <c:pt idx="0">
                  <c:v>104.825866657969</c:v>
                </c:pt>
                <c:pt idx="1">
                  <c:v>91.000348181682298</c:v>
                </c:pt>
                <c:pt idx="2">
                  <c:v>85.096938408232305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F6A-870B-1A077AD9A11E}"/>
            </c:ext>
          </c:extLst>
        </c:ser>
        <c:ser>
          <c:idx val="1"/>
          <c:order val="1"/>
          <c:tx>
            <c:strRef>
              <c:f>qmcpack!$A$11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qmcpack!$Q$13:$Q$19</c:f>
              <c:numCache>
                <c:formatCode>General</c:formatCode>
                <c:ptCount val="7"/>
                <c:pt idx="0">
                  <c:v>2.4007649023037945</c:v>
                </c:pt>
                <c:pt idx="1">
                  <c:v>1.2327702017221538</c:v>
                </c:pt>
                <c:pt idx="2">
                  <c:v>0.92574257826887574</c:v>
                </c:pt>
                <c:pt idx="3">
                  <c:v>0.50465886969595775</c:v>
                </c:pt>
                <c:pt idx="4">
                  <c:v>0.4065782841710282</c:v>
                </c:pt>
                <c:pt idx="5">
                  <c:v>0.23841337019104328</c:v>
                </c:pt>
                <c:pt idx="6">
                  <c:v>0.19060172070137171</c:v>
                </c:pt>
              </c:numCache>
            </c:numRef>
          </c:xVal>
          <c:yVal>
            <c:numRef>
              <c:f>qmcpack!$D$13:$D$19</c:f>
              <c:numCache>
                <c:formatCode>General</c:formatCode>
                <c:ptCount val="7"/>
                <c:pt idx="0">
                  <c:v>105.671699630794</c:v>
                </c:pt>
                <c:pt idx="1">
                  <c:v>93.416352109354804</c:v>
                </c:pt>
                <c:pt idx="2">
                  <c:v>88.824634169360294</c:v>
                </c:pt>
                <c:pt idx="3">
                  <c:v>77.512626785922095</c:v>
                </c:pt>
                <c:pt idx="4">
                  <c:v>73.306080145578505</c:v>
                </c:pt>
                <c:pt idx="5">
                  <c:v>62.878544847709598</c:v>
                </c:pt>
                <c:pt idx="6">
                  <c:v>59.281594174624502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4A-4F6A-870B-1A077AD9A11E}"/>
            </c:ext>
          </c:extLst>
        </c:ser>
        <c:ser>
          <c:idx val="2"/>
          <c:order val="2"/>
          <c:tx>
            <c:strRef>
              <c:f>qmcpack!$A$22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qmcpack!$Q$24:$Q$30</c:f>
              <c:numCache>
                <c:formatCode>General</c:formatCode>
                <c:ptCount val="7"/>
                <c:pt idx="0">
                  <c:v>8.6176294680873724</c:v>
                </c:pt>
                <c:pt idx="1">
                  <c:v>6.3814905122950476</c:v>
                </c:pt>
                <c:pt idx="2">
                  <c:v>5.4802824489621713</c:v>
                </c:pt>
                <c:pt idx="3">
                  <c:v>3.5589407290262933</c:v>
                </c:pt>
                <c:pt idx="4">
                  <c:v>2.7860253996781492</c:v>
                </c:pt>
                <c:pt idx="5">
                  <c:v>1.2902250063385474</c:v>
                </c:pt>
                <c:pt idx="6">
                  <c:v>0.82785555798089083</c:v>
                </c:pt>
              </c:numCache>
            </c:numRef>
          </c:xVal>
          <c:yVal>
            <c:numRef>
              <c:f>qmcpack!$D$24:$D$30</c:f>
              <c:numCache>
                <c:formatCode>General</c:formatCode>
                <c:ptCount val="7"/>
                <c:pt idx="0">
                  <c:v>104.825868524358</c:v>
                </c:pt>
                <c:pt idx="1">
                  <c:v>91.000348615698101</c:v>
                </c:pt>
                <c:pt idx="2">
                  <c:v>85.096938982675596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4A-4F6A-870B-1A077AD9A11E}"/>
            </c:ext>
          </c:extLst>
        </c:ser>
        <c:ser>
          <c:idx val="3"/>
          <c:order val="3"/>
          <c:tx>
            <c:strRef>
              <c:f>qmcpack!$A$33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qmcpack!$Q$35:$Q$41</c:f>
              <c:numCache>
                <c:formatCode>General</c:formatCode>
                <c:ptCount val="7"/>
                <c:pt idx="0">
                  <c:v>20.094544833441301</c:v>
                </c:pt>
                <c:pt idx="1">
                  <c:v>18.191813342899099</c:v>
                </c:pt>
                <c:pt idx="2">
                  <c:v>17.166230805337602</c:v>
                </c:pt>
                <c:pt idx="3">
                  <c:v>13.98485051735307</c:v>
                </c:pt>
                <c:pt idx="4">
                  <c:v>12.805973064404455</c:v>
                </c:pt>
                <c:pt idx="5">
                  <c:v>10.565010941372872</c:v>
                </c:pt>
                <c:pt idx="6">
                  <c:v>9.6257332330849312</c:v>
                </c:pt>
              </c:numCache>
            </c:numRef>
          </c:xVal>
          <c:yVal>
            <c:numRef>
              <c:f>qmcpack!$D$35:$D$39</c:f>
              <c:numCache>
                <c:formatCode>General</c:formatCode>
                <c:ptCount val="5"/>
                <c:pt idx="3">
                  <c:v>109.817999808235</c:v>
                </c:pt>
                <c:pt idx="4">
                  <c:v>103.64231508078301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4A-4F6A-870B-1A077AD9A11E}"/>
            </c:ext>
          </c:extLst>
        </c:ser>
        <c:ser>
          <c:idx val="4"/>
          <c:order val="4"/>
          <c:tx>
            <c:strRef>
              <c:f>qmcpack!$A$44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qmcpack!$Q$46:$Q$53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qmcpack!$D$46:$D$53</c:f>
              <c:numCache>
                <c:formatCode>General</c:formatCode>
                <c:ptCount val="8"/>
                <c:pt idx="0">
                  <c:v>47.306261982676602</c:v>
                </c:pt>
                <c:pt idx="1">
                  <c:v>56.133710425541302</c:v>
                </c:pt>
                <c:pt idx="2">
                  <c:v>66.029191455170206</c:v>
                </c:pt>
                <c:pt idx="3">
                  <c:v>80.450015059083398</c:v>
                </c:pt>
                <c:pt idx="4">
                  <c:v>92.762601709612099</c:v>
                </c:pt>
                <c:pt idx="5">
                  <c:v>104.738572643607</c:v>
                </c:pt>
                <c:pt idx="6">
                  <c:v>128.63716378807101</c:v>
                </c:pt>
                <c:pt idx="7">
                  <c:v>152.70901889044001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64A-4F6A-870B-1A077AD9A11E}"/>
            </c:ext>
          </c:extLst>
        </c:ser>
        <c:ser>
          <c:idx val="5"/>
          <c:order val="5"/>
          <c:tx>
            <c:strRef>
              <c:f>qmcpack!$A$56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qmcpack!$Q$58:$Q$64</c:f>
              <c:numCache>
                <c:formatCode>General</c:formatCode>
                <c:ptCount val="7"/>
                <c:pt idx="0">
                  <c:v>5.071029514231661</c:v>
                </c:pt>
                <c:pt idx="1">
                  <c:v>3.6150740748730246</c:v>
                </c:pt>
                <c:pt idx="2">
                  <c:v>3.1508042684882764</c:v>
                </c:pt>
                <c:pt idx="3">
                  <c:v>2.4223980305685955</c:v>
                </c:pt>
                <c:pt idx="4">
                  <c:v>2.1721161633333854</c:v>
                </c:pt>
                <c:pt idx="5">
                  <c:v>1.4486064013936737</c:v>
                </c:pt>
                <c:pt idx="6">
                  <c:v>1.0569304945817168</c:v>
                </c:pt>
              </c:numCache>
            </c:numRef>
          </c:xVal>
          <c:yVal>
            <c:numRef>
              <c:f>qmcpack!$D$58:$D$64</c:f>
              <c:numCache>
                <c:formatCode>General</c:formatCode>
                <c:ptCount val="7"/>
                <c:pt idx="0">
                  <c:v>61.991796667126998</c:v>
                </c:pt>
                <c:pt idx="1">
                  <c:v>91.000348181682298</c:v>
                </c:pt>
                <c:pt idx="2">
                  <c:v>85.096938408232305</c:v>
                </c:pt>
                <c:pt idx="3">
                  <c:v>71.443469619923604</c:v>
                </c:pt>
                <c:pt idx="4">
                  <c:v>65.626114698205299</c:v>
                </c:pt>
                <c:pt idx="5">
                  <c:v>52.340946532001396</c:v>
                </c:pt>
                <c:pt idx="6">
                  <c:v>46.748553686824202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4A-4F6A-870B-1A077AD9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W/O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rtm!$C$3:$C$9</c:f>
              <c:numCache>
                <c:formatCode>General</c:formatCode>
                <c:ptCount val="7"/>
                <c:pt idx="0">
                  <c:v>2.9428751110548501</c:v>
                </c:pt>
                <c:pt idx="1">
                  <c:v>2.0737550385671102</c:v>
                </c:pt>
                <c:pt idx="2">
                  <c:v>1.8090530232803701</c:v>
                </c:pt>
                <c:pt idx="3">
                  <c:v>1.39328766508908</c:v>
                </c:pt>
                <c:pt idx="4">
                  <c:v>1.29502537166161</c:v>
                </c:pt>
                <c:pt idx="5">
                  <c:v>1.1557841299348799</c:v>
                </c:pt>
                <c:pt idx="6">
                  <c:v>1.11413554958528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107.042773676029</c:v>
                </c:pt>
                <c:pt idx="1">
                  <c:v>93.223318293513302</c:v>
                </c:pt>
                <c:pt idx="2">
                  <c:v>87.522483092206201</c:v>
                </c:pt>
                <c:pt idx="3">
                  <c:v>74.5914437599221</c:v>
                </c:pt>
                <c:pt idx="4">
                  <c:v>69.053872386058302</c:v>
                </c:pt>
                <c:pt idx="5">
                  <c:v>56.307149116851498</c:v>
                </c:pt>
                <c:pt idx="6">
                  <c:v>50.923478607050697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B1-4E48-9E48-CB29EDC617E6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rtm!$C$13:$C$19</c:f>
              <c:numCache>
                <c:formatCode>General</c:formatCode>
                <c:ptCount val="7"/>
                <c:pt idx="0">
                  <c:v>2.4061484976059702</c:v>
                </c:pt>
                <c:pt idx="1">
                  <c:v>1.7012669711166499</c:v>
                </c:pt>
                <c:pt idx="2">
                  <c:v>1.4917216313903501</c:v>
                </c:pt>
                <c:pt idx="3">
                  <c:v>1.2170090131120599</c:v>
                </c:pt>
                <c:pt idx="4">
                  <c:v>1.1684390688157</c:v>
                </c:pt>
                <c:pt idx="5">
                  <c:v>1.1190133547947201</c:v>
                </c:pt>
                <c:pt idx="6">
                  <c:v>1.11191607834192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107.998447542346</c:v>
                </c:pt>
                <c:pt idx="1">
                  <c:v>95.277277635550604</c:v>
                </c:pt>
                <c:pt idx="2">
                  <c:v>90.252151456425693</c:v>
                </c:pt>
                <c:pt idx="3">
                  <c:v>78.622689771481902</c:v>
                </c:pt>
                <c:pt idx="4">
                  <c:v>74.309788457960295</c:v>
                </c:pt>
                <c:pt idx="5">
                  <c:v>63.994462500061204</c:v>
                </c:pt>
                <c:pt idx="6">
                  <c:v>60.145688416479501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B1-4E48-9E48-CB29EDC617E6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rtm!$C$24:$C$30</c:f>
              <c:numCache>
                <c:formatCode>General</c:formatCode>
                <c:ptCount val="7"/>
                <c:pt idx="0">
                  <c:v>4.7958389582654402</c:v>
                </c:pt>
                <c:pt idx="1">
                  <c:v>3.5230488212096298</c:v>
                </c:pt>
                <c:pt idx="2">
                  <c:v>3.0033846269412798</c:v>
                </c:pt>
                <c:pt idx="3">
                  <c:v>1.97448176529967</c:v>
                </c:pt>
                <c:pt idx="4">
                  <c:v>1.61447516699746</c:v>
                </c:pt>
                <c:pt idx="5">
                  <c:v>0.97288188911044904</c:v>
                </c:pt>
                <c:pt idx="6">
                  <c:v>0.76988628562417005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107.042773812261</c:v>
                </c:pt>
                <c:pt idx="1">
                  <c:v>93.223318419688596</c:v>
                </c:pt>
                <c:pt idx="2">
                  <c:v>87.522483212057693</c:v>
                </c:pt>
                <c:pt idx="3">
                  <c:v>74.591443368017394</c:v>
                </c:pt>
                <c:pt idx="4">
                  <c:v>69.053871996297403</c:v>
                </c:pt>
                <c:pt idx="5">
                  <c:v>56.307149224278099</c:v>
                </c:pt>
                <c:pt idx="6">
                  <c:v>50.923478699169699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B1-4E48-9E48-CB29EDC617E6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rtm!$C$35:$C$39</c:f>
              <c:numCache>
                <c:formatCode>General</c:formatCode>
                <c:ptCount val="5"/>
                <c:pt idx="0">
                  <c:v>3.2551683992600702</c:v>
                </c:pt>
                <c:pt idx="1">
                  <c:v>2.1933563938034002</c:v>
                </c:pt>
                <c:pt idx="2">
                  <c:v>1.83878257785032</c:v>
                </c:pt>
                <c:pt idx="3">
                  <c:v>1.2278236762435699</c:v>
                </c:pt>
                <c:pt idx="4">
                  <c:v>1.0430245364541499</c:v>
                </c:pt>
              </c:numCache>
            </c:numRef>
          </c:xVal>
          <c:yVal>
            <c:numRef>
              <c:f>rtm!$D$35:$D$39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38.293694204053402</c:v>
                </c:pt>
                <c:pt idx="4">
                  <c:v>38.265895893643297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B1-4E48-9E48-CB29EDC617E6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rtm!$C$46:$C$53</c:f>
              <c:numCache>
                <c:formatCode>General</c:formatCode>
                <c:ptCount val="8"/>
                <c:pt idx="0">
                  <c:v>0.5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5B1-4E48-9E48-CB29EDC617E6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rtm!$C$58:$C$64</c:f>
              <c:numCache>
                <c:formatCode>General</c:formatCode>
                <c:ptCount val="7"/>
                <c:pt idx="0">
                  <c:v>4.0416504163418701</c:v>
                </c:pt>
                <c:pt idx="1">
                  <c:v>3.0497204515952201</c:v>
                </c:pt>
                <c:pt idx="2">
                  <c:v>2.6345854899393499</c:v>
                </c:pt>
                <c:pt idx="3">
                  <c:v>1.7732394664100499</c:v>
                </c:pt>
                <c:pt idx="4">
                  <c:v>1.5309104109585501</c:v>
                </c:pt>
                <c:pt idx="5">
                  <c:v>1.1507891340630401</c:v>
                </c:pt>
                <c:pt idx="6">
                  <c:v>0.99927965728235502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61.219363477350797</c:v>
                </c:pt>
                <c:pt idx="1">
                  <c:v>93.223318281865303</c:v>
                </c:pt>
                <c:pt idx="2">
                  <c:v>87.522483076825694</c:v>
                </c:pt>
                <c:pt idx="3">
                  <c:v>74.591443723869801</c:v>
                </c:pt>
                <c:pt idx="4">
                  <c:v>69.0538723459496</c:v>
                </c:pt>
                <c:pt idx="5">
                  <c:v>56.307149001061703</c:v>
                </c:pt>
                <c:pt idx="6">
                  <c:v>50.923478491174002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5B1-4E48-9E48-CB29EDC6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rtm!$H$3:$H$9</c:f>
              <c:numCache>
                <c:formatCode>General</c:formatCode>
                <c:ptCount val="7"/>
                <c:pt idx="0">
                  <c:v>106.683124711563</c:v>
                </c:pt>
                <c:pt idx="1">
                  <c:v>108.252810708358</c:v>
                </c:pt>
                <c:pt idx="2">
                  <c:v>108.75319705512101</c:v>
                </c:pt>
                <c:pt idx="3">
                  <c:v>111.16611934536201</c:v>
                </c:pt>
                <c:pt idx="4">
                  <c:v>112.579134508076</c:v>
                </c:pt>
                <c:pt idx="5">
                  <c:v>115.307980786576</c:v>
                </c:pt>
                <c:pt idx="6">
                  <c:v>115.35562632864099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7-4961-B2A4-8B6F53FF2C38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rtm!$H$13:$H$19</c:f>
              <c:numCache>
                <c:formatCode>General</c:formatCode>
                <c:ptCount val="7"/>
                <c:pt idx="0">
                  <c:v>61.936741179603999</c:v>
                </c:pt>
                <c:pt idx="1">
                  <c:v>62.662658425073602</c:v>
                </c:pt>
                <c:pt idx="2">
                  <c:v>63.074149079852504</c:v>
                </c:pt>
                <c:pt idx="3">
                  <c:v>63.931021599239202</c:v>
                </c:pt>
                <c:pt idx="4">
                  <c:v>64.377141451760295</c:v>
                </c:pt>
                <c:pt idx="5">
                  <c:v>64.834400209226104</c:v>
                </c:pt>
                <c:pt idx="6">
                  <c:v>64.942884006648995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D7-4961-B2A4-8B6F53FF2C38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rtm!$H$24:$H$30</c:f>
              <c:numCache>
                <c:formatCode>General</c:formatCode>
                <c:ptCount val="7"/>
                <c:pt idx="0">
                  <c:v>61.631183847887897</c:v>
                </c:pt>
                <c:pt idx="1">
                  <c:v>66.186099131211407</c:v>
                </c:pt>
                <c:pt idx="2">
                  <c:v>68.284137174427798</c:v>
                </c:pt>
                <c:pt idx="3">
                  <c:v>73.385578384063905</c:v>
                </c:pt>
                <c:pt idx="4">
                  <c:v>75.713784596378005</c:v>
                </c:pt>
                <c:pt idx="5">
                  <c:v>81.023197630743894</c:v>
                </c:pt>
                <c:pt idx="6">
                  <c:v>83.522130266788395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D7-4961-B2A4-8B6F53FF2C38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rtm!$H$35:$H$41</c:f>
              <c:numCache>
                <c:formatCode>General</c:formatCode>
                <c:ptCount val="7"/>
                <c:pt idx="0">
                  <c:v>280.41680224062799</c:v>
                </c:pt>
                <c:pt idx="1">
                  <c:v>299.373944164286</c:v>
                </c:pt>
                <c:pt idx="2">
                  <c:v>306.12769923130401</c:v>
                </c:pt>
                <c:pt idx="3">
                  <c:v>318.900732667912</c:v>
                </c:pt>
                <c:pt idx="4">
                  <c:v>324.36372777027401</c:v>
                </c:pt>
                <c:pt idx="5">
                  <c:v>337.69497711877398</c:v>
                </c:pt>
                <c:pt idx="6">
                  <c:v>343.17401050864999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D7-4961-B2A4-8B6F53FF2C38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rtm!$H$47:$H$53</c:f>
              <c:numCache>
                <c:formatCode>General</c:formatCode>
                <c:ptCount val="7"/>
                <c:pt idx="0">
                  <c:v>344.603767717496</c:v>
                </c:pt>
                <c:pt idx="1">
                  <c:v>266.464099858324</c:v>
                </c:pt>
                <c:pt idx="2">
                  <c:v>208.92039996743901</c:v>
                </c:pt>
                <c:pt idx="3">
                  <c:v>192.96411488755501</c:v>
                </c:pt>
                <c:pt idx="4">
                  <c:v>186.06135307100899</c:v>
                </c:pt>
                <c:pt idx="5">
                  <c:v>175.515973459745</c:v>
                </c:pt>
                <c:pt idx="6">
                  <c:v>175.38620388511401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D7-4961-B2A4-8B6F53FF2C38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rtm!$H$58:$H$64</c:f>
              <c:numCache>
                <c:formatCode>General</c:formatCode>
                <c:ptCount val="7"/>
                <c:pt idx="0">
                  <c:v>153.71899850467</c:v>
                </c:pt>
                <c:pt idx="1">
                  <c:v>154.55719742194299</c:v>
                </c:pt>
                <c:pt idx="2">
                  <c:v>154.62420935480699</c:v>
                </c:pt>
                <c:pt idx="3">
                  <c:v>154.88182230629201</c:v>
                </c:pt>
                <c:pt idx="4">
                  <c:v>155.03574098251801</c:v>
                </c:pt>
                <c:pt idx="5">
                  <c:v>155.19329071569899</c:v>
                </c:pt>
                <c:pt idx="6">
                  <c:v>155.307670894843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D7-4961-B2A4-8B6F53FF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NSYS DCMP</a:t>
            </a:r>
            <a:r>
              <a:rPr lang="en-US" altLang="zh-CN" baseline="0"/>
              <a:t> speed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rtm!$A$3:$A$9</c:f>
              <c:numCache>
                <c:formatCode>0.00E+00</c:formatCode>
                <c:ptCount val="7"/>
                <c:pt idx="0">
                  <c:v>1.0000000000000001E-5</c:v>
                </c:pt>
                <c:pt idx="1">
                  <c:v>5.0000000000000002E-5</c:v>
                </c:pt>
                <c:pt idx="2">
                  <c:v>1E-4</c:v>
                </c:pt>
                <c:pt idx="3">
                  <c:v>5.0000000000000001E-4</c:v>
                </c:pt>
                <c:pt idx="4">
                  <c:v>1E-3</c:v>
                </c:pt>
                <c:pt idx="5">
                  <c:v>5.0000000000000001E-3</c:v>
                </c:pt>
                <c:pt idx="6">
                  <c:v>0.01</c:v>
                </c:pt>
              </c:numCache>
            </c:numRef>
          </c:cat>
          <c:val>
            <c:numRef>
              <c:f>rtm!$I$3:$I$9</c:f>
              <c:numCache>
                <c:formatCode>General</c:formatCode>
                <c:ptCount val="7"/>
                <c:pt idx="0">
                  <c:v>48.228823713095501</c:v>
                </c:pt>
                <c:pt idx="1">
                  <c:v>50.327016578657599</c:v>
                </c:pt>
                <c:pt idx="2">
                  <c:v>51.971099114777999</c:v>
                </c:pt>
                <c:pt idx="3">
                  <c:v>57.5005004506869</c:v>
                </c:pt>
                <c:pt idx="4">
                  <c:v>59.544560305426302</c:v>
                </c:pt>
                <c:pt idx="5">
                  <c:v>66.999668460013694</c:v>
                </c:pt>
                <c:pt idx="6">
                  <c:v>67.656106478687505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E5A-95A1-771911EE2A23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rtm!$I$13:$I$19</c:f>
              <c:numCache>
                <c:formatCode>General</c:formatCode>
                <c:ptCount val="7"/>
                <c:pt idx="0">
                  <c:v>41.377609748534901</c:v>
                </c:pt>
                <c:pt idx="1">
                  <c:v>43.638377930555002</c:v>
                </c:pt>
                <c:pt idx="2">
                  <c:v>44.876047331639498</c:v>
                </c:pt>
                <c:pt idx="3">
                  <c:v>47.319776723307697</c:v>
                </c:pt>
                <c:pt idx="4">
                  <c:v>48.1563003959482</c:v>
                </c:pt>
                <c:pt idx="5">
                  <c:v>49.343378539316397</c:v>
                </c:pt>
                <c:pt idx="6">
                  <c:v>49.456819418212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4A-4E5A-95A1-771911EE2A23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rtm!$I$24:$I$30</c:f>
              <c:numCache>
                <c:formatCode>General</c:formatCode>
                <c:ptCount val="7"/>
                <c:pt idx="0">
                  <c:v>89.739155031478006</c:v>
                </c:pt>
                <c:pt idx="1">
                  <c:v>103.18941889342</c:v>
                </c:pt>
                <c:pt idx="2">
                  <c:v>111.48958263798301</c:v>
                </c:pt>
                <c:pt idx="3">
                  <c:v>137.310069727616</c:v>
                </c:pt>
                <c:pt idx="4">
                  <c:v>153.18837854932701</c:v>
                </c:pt>
                <c:pt idx="5">
                  <c:v>203.67673342834499</c:v>
                </c:pt>
                <c:pt idx="6">
                  <c:v>237.27780174485699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4A-4E5A-95A1-771911EE2A23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rtm!$I$35:$I$41</c:f>
              <c:numCache>
                <c:formatCode>General</c:formatCode>
                <c:ptCount val="7"/>
                <c:pt idx="0">
                  <c:v>1267.03272273637</c:v>
                </c:pt>
                <c:pt idx="1">
                  <c:v>1484.4679927488701</c:v>
                </c:pt>
                <c:pt idx="2">
                  <c:v>1577.8637168611201</c:v>
                </c:pt>
                <c:pt idx="3">
                  <c:v>1793.09213255852</c:v>
                </c:pt>
                <c:pt idx="4">
                  <c:v>1885.1648420149099</c:v>
                </c:pt>
                <c:pt idx="5">
                  <c:v>2231.03418623072</c:v>
                </c:pt>
                <c:pt idx="6">
                  <c:v>2443.2616377917502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4A-4E5A-95A1-771911EE2A23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rtm!$I$47:$I$53</c:f>
              <c:numCache>
                <c:formatCode>General</c:formatCode>
                <c:ptCount val="7"/>
                <c:pt idx="0">
                  <c:v>418.86613864368297</c:v>
                </c:pt>
                <c:pt idx="1">
                  <c:v>313.46258525711897</c:v>
                </c:pt>
                <c:pt idx="2">
                  <c:v>253.63299515661001</c:v>
                </c:pt>
                <c:pt idx="3">
                  <c:v>234.18520529893499</c:v>
                </c:pt>
                <c:pt idx="4">
                  <c:v>220.88927955940301</c:v>
                </c:pt>
                <c:pt idx="5">
                  <c:v>207.95302750975401</c:v>
                </c:pt>
                <c:pt idx="6">
                  <c:v>199.58459806246699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4A-4E5A-95A1-771911EE2A23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rtm!$I$58:$I$64</c:f>
              <c:numCache>
                <c:formatCode>General</c:formatCode>
                <c:ptCount val="7"/>
                <c:pt idx="0">
                  <c:v>118.516601341667</c:v>
                </c:pt>
                <c:pt idx="1">
                  <c:v>119.01570140126999</c:v>
                </c:pt>
                <c:pt idx="2">
                  <c:v>119.135613597515</c:v>
                </c:pt>
                <c:pt idx="3">
                  <c:v>119.62630678935</c:v>
                </c:pt>
                <c:pt idx="4">
                  <c:v>120.18490760975401</c:v>
                </c:pt>
                <c:pt idx="5">
                  <c:v>120.17175788930599</c:v>
                </c:pt>
                <c:pt idx="6">
                  <c:v>120.76713379561301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4A-4E5A-95A1-771911EE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302384"/>
        <c:axId val="1345866000"/>
      </c:barChart>
      <c:catAx>
        <c:axId val="13543023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5866000"/>
        <c:crosses val="autoZero"/>
        <c:auto val="1"/>
        <c:lblAlgn val="ctr"/>
        <c:lblOffset val="100"/>
        <c:noMultiLvlLbl val="0"/>
      </c:catAx>
      <c:valAx>
        <c:axId val="1345866000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3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Rate-PSNR</a:t>
            </a:r>
            <a:r>
              <a:rPr lang="en-US" altLang="zh-CN" baseline="0"/>
              <a:t> with Bitcomp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rtm!$A$1</c:f>
              <c:strCache>
                <c:ptCount val="1"/>
                <c:pt idx="0">
                  <c:v>CuSZ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rtm!$Q$3:$Q$9</c:f>
              <c:numCache>
                <c:formatCode>General</c:formatCode>
                <c:ptCount val="7"/>
                <c:pt idx="0">
                  <c:v>2.1968431443258885</c:v>
                </c:pt>
                <c:pt idx="1">
                  <c:v>1.4598195251714308</c:v>
                </c:pt>
                <c:pt idx="2">
                  <c:v>1.201501621519524</c:v>
                </c:pt>
                <c:pt idx="3">
                  <c:v>0.75354092446752408</c:v>
                </c:pt>
                <c:pt idx="4">
                  <c:v>0.63803453201105043</c:v>
                </c:pt>
                <c:pt idx="5">
                  <c:v>0.45092112720411986</c:v>
                </c:pt>
                <c:pt idx="6">
                  <c:v>0.38051562507136505</c:v>
                </c:pt>
              </c:numCache>
            </c:numRef>
          </c:xVal>
          <c:yVal>
            <c:numRef>
              <c:f>rtm!$D$3:$D$9</c:f>
              <c:numCache>
                <c:formatCode>General</c:formatCode>
                <c:ptCount val="7"/>
                <c:pt idx="0">
                  <c:v>107.042773676029</c:v>
                </c:pt>
                <c:pt idx="1">
                  <c:v>93.223318293513302</c:v>
                </c:pt>
                <c:pt idx="2">
                  <c:v>87.522483092206201</c:v>
                </c:pt>
                <c:pt idx="3">
                  <c:v>74.5914437599221</c:v>
                </c:pt>
                <c:pt idx="4">
                  <c:v>69.053872386058302</c:v>
                </c:pt>
                <c:pt idx="5">
                  <c:v>56.307149116851498</c:v>
                </c:pt>
                <c:pt idx="6">
                  <c:v>50.923478607050697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BB-4297-AD04-D45C1EBF3B7F}"/>
            </c:ext>
          </c:extLst>
        </c:ser>
        <c:ser>
          <c:idx val="1"/>
          <c:order val="1"/>
          <c:tx>
            <c:strRef>
              <c:f>rtm!$A$11</c:f>
              <c:strCache>
                <c:ptCount val="1"/>
                <c:pt idx="0">
                  <c:v>CuSZ-I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rtm!$Q$13:$Q$19</c:f>
              <c:numCache>
                <c:formatCode>General</c:formatCode>
                <c:ptCount val="7"/>
                <c:pt idx="0">
                  <c:v>1.55131634825818</c:v>
                </c:pt>
                <c:pt idx="1">
                  <c:v>0.89748013208805744</c:v>
                </c:pt>
                <c:pt idx="2">
                  <c:v>0.70438508339268902</c:v>
                </c:pt>
                <c:pt idx="3">
                  <c:v>0.42501134437405558</c:v>
                </c:pt>
                <c:pt idx="4">
                  <c:v>0.33275402873567683</c:v>
                </c:pt>
                <c:pt idx="5">
                  <c:v>0.17337275654967454</c:v>
                </c:pt>
                <c:pt idx="6">
                  <c:v>0.13698779167531946</c:v>
                </c:pt>
              </c:numCache>
            </c:numRef>
          </c:xVal>
          <c:yVal>
            <c:numRef>
              <c:f>rtm!$D$13:$D$19</c:f>
              <c:numCache>
                <c:formatCode>General</c:formatCode>
                <c:ptCount val="7"/>
                <c:pt idx="0">
                  <c:v>107.998447542346</c:v>
                </c:pt>
                <c:pt idx="1">
                  <c:v>95.277277635550604</c:v>
                </c:pt>
                <c:pt idx="2">
                  <c:v>90.252151456425693</c:v>
                </c:pt>
                <c:pt idx="3">
                  <c:v>78.622689771481902</c:v>
                </c:pt>
                <c:pt idx="4">
                  <c:v>74.309788457960295</c:v>
                </c:pt>
                <c:pt idx="5">
                  <c:v>63.994462500061204</c:v>
                </c:pt>
                <c:pt idx="6">
                  <c:v>60.145688416479501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BB-4297-AD04-D45C1EBF3B7F}"/>
            </c:ext>
          </c:extLst>
        </c:ser>
        <c:ser>
          <c:idx val="2"/>
          <c:order val="2"/>
          <c:tx>
            <c:strRef>
              <c:f>rtm!$A$22</c:f>
              <c:strCache>
                <c:ptCount val="1"/>
                <c:pt idx="0">
                  <c:v>CuSZp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rtm!$Q$24:$Q$30</c:f>
              <c:numCache>
                <c:formatCode>General</c:formatCode>
                <c:ptCount val="7"/>
                <c:pt idx="0">
                  <c:v>3.8968945368779209</c:v>
                </c:pt>
                <c:pt idx="1">
                  <c:v>2.7434465996849697</c:v>
                </c:pt>
                <c:pt idx="2">
                  <c:v>2.2793671107501288</c:v>
                </c:pt>
                <c:pt idx="3">
                  <c:v>1.3505476896664794</c:v>
                </c:pt>
                <c:pt idx="4">
                  <c:v>1.028153614886284</c:v>
                </c:pt>
                <c:pt idx="5">
                  <c:v>0.47979173098733746</c:v>
                </c:pt>
                <c:pt idx="6">
                  <c:v>0.31854829332654638</c:v>
                </c:pt>
              </c:numCache>
            </c:numRef>
          </c:xVal>
          <c:yVal>
            <c:numRef>
              <c:f>rtm!$D$24:$D$30</c:f>
              <c:numCache>
                <c:formatCode>General</c:formatCode>
                <c:ptCount val="7"/>
                <c:pt idx="0">
                  <c:v>107.042773812261</c:v>
                </c:pt>
                <c:pt idx="1">
                  <c:v>93.223318419688596</c:v>
                </c:pt>
                <c:pt idx="2">
                  <c:v>87.522483212057693</c:v>
                </c:pt>
                <c:pt idx="3">
                  <c:v>74.591443368017394</c:v>
                </c:pt>
                <c:pt idx="4">
                  <c:v>69.053871996297403</c:v>
                </c:pt>
                <c:pt idx="5">
                  <c:v>56.307149224278099</c:v>
                </c:pt>
                <c:pt idx="6">
                  <c:v>50.923478699169699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BB-4297-AD04-D45C1EBF3B7F}"/>
            </c:ext>
          </c:extLst>
        </c:ser>
        <c:ser>
          <c:idx val="3"/>
          <c:order val="3"/>
          <c:tx>
            <c:strRef>
              <c:f>rtm!$A$33</c:f>
              <c:strCache>
                <c:ptCount val="1"/>
                <c:pt idx="0">
                  <c:v>CuSZx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rtm!$Q$35:$Q$41</c:f>
              <c:numCache>
                <c:formatCode>General</c:formatCode>
                <c:ptCount val="7"/>
                <c:pt idx="0">
                  <c:v>2.6870229474907275</c:v>
                </c:pt>
                <c:pt idx="1">
                  <c:v>1.7989653288590703</c:v>
                </c:pt>
                <c:pt idx="2">
                  <c:v>1.4960526251325053</c:v>
                </c:pt>
                <c:pt idx="3">
                  <c:v>0.97658590577101079</c:v>
                </c:pt>
                <c:pt idx="4">
                  <c:v>0.82504363690528826</c:v>
                </c:pt>
                <c:pt idx="5">
                  <c:v>0.54888126595905395</c:v>
                </c:pt>
                <c:pt idx="6">
                  <c:v>0.45438485089785763</c:v>
                </c:pt>
              </c:numCache>
            </c:numRef>
          </c:xVal>
          <c:yVal>
            <c:numRef>
              <c:f>rtm!$D$35:$D$39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38.293694204053402</c:v>
                </c:pt>
                <c:pt idx="4">
                  <c:v>38.265895893643297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BB-4297-AD04-D45C1EBF3B7F}"/>
            </c:ext>
          </c:extLst>
        </c:ser>
        <c:ser>
          <c:idx val="4"/>
          <c:order val="4"/>
          <c:tx>
            <c:strRef>
              <c:f>rtm!$A$44</c:f>
              <c:strCache>
                <c:ptCount val="1"/>
                <c:pt idx="0">
                  <c:v>CuZFP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rtm!$Q$46:$Q$53</c:f>
              <c:numCache>
                <c:formatCode>General</c:formatCode>
                <c:ptCount val="8"/>
                <c:pt idx="0">
                  <c:v>0.35645168779229464</c:v>
                </c:pt>
                <c:pt idx="1">
                  <c:v>0.70702222017187588</c:v>
                </c:pt>
                <c:pt idx="2">
                  <c:v>1.4076899856577669</c:v>
                </c:pt>
                <c:pt idx="3">
                  <c:v>2.7636322293891715</c:v>
                </c:pt>
                <c:pt idx="4">
                  <c:v>4.1311057310922532</c:v>
                </c:pt>
                <c:pt idx="5">
                  <c:v>5.4920773826164062</c:v>
                </c:pt>
                <c:pt idx="6">
                  <c:v>8.162396310446514</c:v>
                </c:pt>
                <c:pt idx="7">
                  <c:v>10.848240950851141</c:v>
                </c:pt>
              </c:numCache>
            </c:numRef>
          </c:xVal>
          <c:yVal>
            <c:numRef>
              <c:f>rtm!$D$46:$D$53</c:f>
              <c:numCache>
                <c:formatCode>General</c:formatCode>
                <c:ptCount val="8"/>
                <c:pt idx="0">
                  <c:v>50.637823945659498</c:v>
                </c:pt>
                <c:pt idx="1">
                  <c:v>61.874275375813603</c:v>
                </c:pt>
                <c:pt idx="2">
                  <c:v>74.079901761073003</c:v>
                </c:pt>
                <c:pt idx="3">
                  <c:v>87.312265880115902</c:v>
                </c:pt>
                <c:pt idx="4">
                  <c:v>98.829834598691505</c:v>
                </c:pt>
                <c:pt idx="5">
                  <c:v>110.82847294764299</c:v>
                </c:pt>
                <c:pt idx="6">
                  <c:v>134.91911251751799</c:v>
                </c:pt>
                <c:pt idx="7">
                  <c:v>159.00181820919499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BB-4297-AD04-D45C1EBF3B7F}"/>
            </c:ext>
          </c:extLst>
        </c:ser>
        <c:ser>
          <c:idx val="5"/>
          <c:order val="5"/>
          <c:tx>
            <c:strRef>
              <c:f>rtm!$A$56</c:f>
              <c:strCache>
                <c:ptCount val="1"/>
                <c:pt idx="0">
                  <c:v>FZ-GPU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rtm!$Q$58:$Q$64</c:f>
              <c:numCache>
                <c:formatCode>General</c:formatCode>
                <c:ptCount val="7"/>
                <c:pt idx="0">
                  <c:v>3.0073369483877084</c:v>
                </c:pt>
                <c:pt idx="1">
                  <c:v>2.1070302593412107</c:v>
                </c:pt>
                <c:pt idx="2">
                  <c:v>1.742052228142114</c:v>
                </c:pt>
                <c:pt idx="3">
                  <c:v>1.0811062260168118</c:v>
                </c:pt>
                <c:pt idx="4">
                  <c:v>0.90129275132871101</c:v>
                </c:pt>
                <c:pt idx="5">
                  <c:v>0.58471111864973691</c:v>
                </c:pt>
                <c:pt idx="6">
                  <c:v>0.45894495834034549</c:v>
                </c:pt>
              </c:numCache>
            </c:numRef>
          </c:xVal>
          <c:yVal>
            <c:numRef>
              <c:f>rtm!$D$58:$D$64</c:f>
              <c:numCache>
                <c:formatCode>General</c:formatCode>
                <c:ptCount val="7"/>
                <c:pt idx="0">
                  <c:v>61.219363477350797</c:v>
                </c:pt>
                <c:pt idx="1">
                  <c:v>93.223318281865303</c:v>
                </c:pt>
                <c:pt idx="2">
                  <c:v>87.522483076825694</c:v>
                </c:pt>
                <c:pt idx="3">
                  <c:v>74.591443723869801</c:v>
                </c:pt>
                <c:pt idx="4">
                  <c:v>69.0538723459496</c:v>
                </c:pt>
                <c:pt idx="5">
                  <c:v>56.307149001061703</c:v>
                </c:pt>
                <c:pt idx="6">
                  <c:v>50.923478491174002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DBB-4297-AD04-D45C1EBF3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6480"/>
        <c:axId val="1021555168"/>
      </c:scatterChart>
      <c:valAx>
        <c:axId val="873626480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555168"/>
        <c:crosses val="autoZero"/>
        <c:crossBetween val="midCat"/>
      </c:valAx>
      <c:valAx>
        <c:axId val="1021555168"/>
        <c:scaling>
          <c:orientation val="minMax"/>
          <c:max val="12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3626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317500</xdr:colOff>
      <xdr:row>14</xdr:row>
      <xdr:rowOff>73024</xdr:rowOff>
    </xdr:from>
    <xdr:to>
      <xdr:col>38</xdr:col>
      <xdr:colOff>463550</xdr:colOff>
      <xdr:row>40</xdr:row>
      <xdr:rowOff>25399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2BD0EBA-EDAB-4C6F-A74B-65EBACDDD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7</xdr:row>
      <xdr:rowOff>82550</xdr:rowOff>
    </xdr:from>
    <xdr:to>
      <xdr:col>26</xdr:col>
      <xdr:colOff>0</xdr:colOff>
      <xdr:row>43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19A9777-2514-4F8C-9225-B0EDD5ABA0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31750</xdr:colOff>
      <xdr:row>7</xdr:row>
      <xdr:rowOff>155574</xdr:rowOff>
    </xdr:from>
    <xdr:to>
      <xdr:col>37</xdr:col>
      <xdr:colOff>425450</xdr:colOff>
      <xdr:row>47</xdr:row>
      <xdr:rowOff>19049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7ED202F-3553-4A14-B104-B6CDA4FFC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114300</xdr:colOff>
      <xdr:row>79</xdr:row>
      <xdr:rowOff>136524</xdr:rowOff>
    </xdr:from>
    <xdr:to>
      <xdr:col>17</xdr:col>
      <xdr:colOff>311150</xdr:colOff>
      <xdr:row>108</xdr:row>
      <xdr:rowOff>101599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93E1915-7F3C-4332-896E-708A6D07F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B6602C3B-B379-4FEC-BF34-D6A9E577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590550</xdr:colOff>
      <xdr:row>22</xdr:row>
      <xdr:rowOff>165100</xdr:rowOff>
    </xdr:from>
    <xdr:to>
      <xdr:col>33</xdr:col>
      <xdr:colOff>323850</xdr:colOff>
      <xdr:row>62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E184E5E2-1CA9-4148-8F91-B5ADB012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11</xdr:row>
      <xdr:rowOff>34924</xdr:rowOff>
    </xdr:from>
    <xdr:to>
      <xdr:col>20</xdr:col>
      <xdr:colOff>304800</xdr:colOff>
      <xdr:row>50</xdr:row>
      <xdr:rowOff>82549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597D7-DECF-4CDE-9D26-A5AFECCA1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A251BF8-A9EC-43A2-9FC5-4D485B40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022F0D-E08C-4931-ABA1-8B9140EC1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1035050</xdr:colOff>
      <xdr:row>8</xdr:row>
      <xdr:rowOff>114300</xdr:rowOff>
    </xdr:from>
    <xdr:to>
      <xdr:col>32</xdr:col>
      <xdr:colOff>165100</xdr:colOff>
      <xdr:row>47</xdr:row>
      <xdr:rowOff>155575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6657E29-A5CC-43E7-ADFB-1EC29F70E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939800</xdr:colOff>
      <xdr:row>9</xdr:row>
      <xdr:rowOff>85724</xdr:rowOff>
    </xdr:from>
    <xdr:to>
      <xdr:col>22</xdr:col>
      <xdr:colOff>527050</xdr:colOff>
      <xdr:row>48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C1F2F9F-0747-4701-8FF3-078582C86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915021D-FC4D-4F52-ADAE-56BB1F037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F130DAE-A412-41FE-A4D4-32BECB211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1054100</xdr:colOff>
      <xdr:row>10</xdr:row>
      <xdr:rowOff>171450</xdr:rowOff>
    </xdr:from>
    <xdr:to>
      <xdr:col>34</xdr:col>
      <xdr:colOff>127000</xdr:colOff>
      <xdr:row>50</xdr:row>
      <xdr:rowOff>34925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A49E260-2482-4BD7-9A7B-F6413BB834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215900</xdr:colOff>
      <xdr:row>13</xdr:row>
      <xdr:rowOff>79374</xdr:rowOff>
    </xdr:from>
    <xdr:to>
      <xdr:col>33</xdr:col>
      <xdr:colOff>609600</xdr:colOff>
      <xdr:row>52</xdr:row>
      <xdr:rowOff>120649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C399734-7574-4C90-8AE5-187AD2420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E0EA915-428F-488D-AA45-35D423D67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3E1F47D-CEFB-492B-A558-0908C84C2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488950</xdr:colOff>
      <xdr:row>10</xdr:row>
      <xdr:rowOff>139700</xdr:rowOff>
    </xdr:from>
    <xdr:to>
      <xdr:col>20</xdr:col>
      <xdr:colOff>19050</xdr:colOff>
      <xdr:row>50</xdr:row>
      <xdr:rowOff>3175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84D45D9-22AC-46D8-BFA2-C4AD97DA32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457200</xdr:colOff>
      <xdr:row>6</xdr:row>
      <xdr:rowOff>161924</xdr:rowOff>
    </xdr:from>
    <xdr:to>
      <xdr:col>30</xdr:col>
      <xdr:colOff>304800</xdr:colOff>
      <xdr:row>46</xdr:row>
      <xdr:rowOff>31749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1C520E8-F1F6-49E1-8E89-F71D469BB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29BD536-7018-4DCC-B429-2D84D7291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2C86CDE-EAD7-4428-A7A8-379AA62CB8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425450</xdr:colOff>
      <xdr:row>48</xdr:row>
      <xdr:rowOff>82550</xdr:rowOff>
    </xdr:from>
    <xdr:to>
      <xdr:col>33</xdr:col>
      <xdr:colOff>158750</xdr:colOff>
      <xdr:row>87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6962C68-7293-46B5-A6EF-47F6B68A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234950</xdr:colOff>
      <xdr:row>11</xdr:row>
      <xdr:rowOff>104774</xdr:rowOff>
    </xdr:from>
    <xdr:to>
      <xdr:col>23</xdr:col>
      <xdr:colOff>127000</xdr:colOff>
      <xdr:row>50</xdr:row>
      <xdr:rowOff>152399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4D40727-7D55-456D-B756-C91D1B709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285750</xdr:colOff>
      <xdr:row>83</xdr:row>
      <xdr:rowOff>9524</xdr:rowOff>
    </xdr:from>
    <xdr:to>
      <xdr:col>22</xdr:col>
      <xdr:colOff>381000</xdr:colOff>
      <xdr:row>111</xdr:row>
      <xdr:rowOff>152399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5E322F5-B21F-4B4B-ADF3-5A21C3E4DE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254000</xdr:colOff>
      <xdr:row>77</xdr:row>
      <xdr:rowOff>107950</xdr:rowOff>
    </xdr:from>
    <xdr:to>
      <xdr:col>27</xdr:col>
      <xdr:colOff>552450</xdr:colOff>
      <xdr:row>106</xdr:row>
      <xdr:rowOff>73025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E219EF7C-6208-42E8-AB56-1D54B3A47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622300</xdr:colOff>
      <xdr:row>11</xdr:row>
      <xdr:rowOff>76200</xdr:rowOff>
    </xdr:from>
    <xdr:to>
      <xdr:col>37</xdr:col>
      <xdr:colOff>298450</xdr:colOff>
      <xdr:row>50</xdr:row>
      <xdr:rowOff>117475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11F0601-2CFF-44D3-B825-F6E256306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482600</xdr:colOff>
      <xdr:row>11</xdr:row>
      <xdr:rowOff>9524</xdr:rowOff>
    </xdr:from>
    <xdr:to>
      <xdr:col>21</xdr:col>
      <xdr:colOff>69850</xdr:colOff>
      <xdr:row>50</xdr:row>
      <xdr:rowOff>57149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4635067-BABE-43A0-94AF-5C807CFF42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698500</xdr:colOff>
      <xdr:row>82</xdr:row>
      <xdr:rowOff>79374</xdr:rowOff>
    </xdr:from>
    <xdr:to>
      <xdr:col>18</xdr:col>
      <xdr:colOff>1193800</xdr:colOff>
      <xdr:row>111</xdr:row>
      <xdr:rowOff>44449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098141-93BF-4ED0-BE4F-393915F1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190500</xdr:colOff>
      <xdr:row>81</xdr:row>
      <xdr:rowOff>133350</xdr:rowOff>
    </xdr:from>
    <xdr:to>
      <xdr:col>33</xdr:col>
      <xdr:colOff>76200</xdr:colOff>
      <xdr:row>110</xdr:row>
      <xdr:rowOff>98425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A863D69-DDA8-4CF6-8A8F-5262AC5C7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241300</xdr:colOff>
      <xdr:row>14</xdr:row>
      <xdr:rowOff>107950</xdr:rowOff>
    </xdr:from>
    <xdr:to>
      <xdr:col>23</xdr:col>
      <xdr:colOff>393700</xdr:colOff>
      <xdr:row>57</xdr:row>
      <xdr:rowOff>120650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14DC2E6-0BE2-4EF2-AED8-E810AB38C8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22B7-5969-4EB3-8D60-B23550BE4BF5}">
  <dimension ref="A2:T320"/>
  <sheetViews>
    <sheetView workbookViewId="0">
      <selection activeCell="H40" sqref="H40"/>
    </sheetView>
  </sheetViews>
  <sheetFormatPr defaultRowHeight="15"/>
  <cols>
    <col min="17" max="17" width="6.7109375" customWidth="1"/>
  </cols>
  <sheetData>
    <row r="2" spans="1:20">
      <c r="A2" t="s">
        <v>17</v>
      </c>
    </row>
    <row r="3" spans="1:2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24</v>
      </c>
      <c r="R3" s="1" t="s">
        <v>25</v>
      </c>
      <c r="S3" s="1" t="s">
        <v>26</v>
      </c>
      <c r="T3" s="1" t="s">
        <v>27</v>
      </c>
    </row>
    <row r="4" spans="1:20">
      <c r="A4" s="2">
        <v>0.01</v>
      </c>
      <c r="B4" s="1" t="s">
        <v>16</v>
      </c>
      <c r="C4" s="1">
        <v>29.881264519134199</v>
      </c>
      <c r="D4" s="1">
        <f t="shared" ref="D4:D10" si="0">32/C4</f>
        <v>1.0709051479233447</v>
      </c>
      <c r="E4" s="1">
        <v>47.6795085812591</v>
      </c>
      <c r="F4" s="1"/>
      <c r="G4" s="1">
        <v>66.111212121212105</v>
      </c>
      <c r="H4" s="1">
        <v>66.111212121212105</v>
      </c>
      <c r="I4" s="1">
        <v>121.79881807668799</v>
      </c>
      <c r="J4" s="1">
        <v>66.782677996898698</v>
      </c>
      <c r="K4" s="1">
        <v>2.9022653800026701</v>
      </c>
      <c r="L4" s="1">
        <v>204.58997142600501</v>
      </c>
      <c r="M4" s="1">
        <v>108.622765793612</v>
      </c>
      <c r="N4" s="1">
        <v>2.90578232956452</v>
      </c>
      <c r="O4" s="1">
        <v>353.42868333307001</v>
      </c>
      <c r="P4" s="1">
        <v>198.860856780923</v>
      </c>
      <c r="Q4">
        <f>C4*N4</f>
        <v>86.828450424743409</v>
      </c>
      <c r="R4">
        <f>D4/N4</f>
        <v>0.36854279724518724</v>
      </c>
      <c r="S4">
        <f>1/(1/I4+1/(O4*C4))</f>
        <v>120.41012801563322</v>
      </c>
      <c r="T4">
        <f>1/(1/J4+1/(P4*C4))</f>
        <v>66.040469867922837</v>
      </c>
    </row>
    <row r="5" spans="1:20">
      <c r="A5" s="2">
        <v>5.0000000000000001E-3</v>
      </c>
      <c r="B5" s="1" t="s">
        <v>16</v>
      </c>
      <c r="C5" s="1">
        <v>28.673475020881799</v>
      </c>
      <c r="D5" s="1">
        <f t="shared" si="0"/>
        <v>1.1160140156257872</v>
      </c>
      <c r="E5" s="1">
        <v>53.330830786481499</v>
      </c>
      <c r="F5" s="1"/>
      <c r="G5" s="1">
        <v>65.2945454545454</v>
      </c>
      <c r="H5" s="1">
        <v>65.2945454545454</v>
      </c>
      <c r="I5" s="1">
        <v>120.188963537411</v>
      </c>
      <c r="J5" s="1">
        <v>65.7941249994836</v>
      </c>
      <c r="K5" s="1">
        <v>2.24382954570097</v>
      </c>
      <c r="L5" s="1">
        <v>210.940052063645</v>
      </c>
      <c r="M5" s="1">
        <v>113.635476040782</v>
      </c>
      <c r="N5" s="1">
        <v>2.2469930202381598</v>
      </c>
      <c r="O5" s="1">
        <v>350.60634178914199</v>
      </c>
      <c r="P5" s="1">
        <v>210.435811662888</v>
      </c>
      <c r="Q5">
        <f t="shared" ref="Q5:Q10" si="1">C5*N5</f>
        <v>64.429098237894621</v>
      </c>
      <c r="R5">
        <f t="shared" ref="R5:R10" si="2">D5/N5</f>
        <v>0.49666999655722133</v>
      </c>
      <c r="S5">
        <f t="shared" ref="S5:S10" si="3">1/(1/I5+1/(O5*C5))</f>
        <v>118.76903101533139</v>
      </c>
      <c r="T5">
        <f t="shared" ref="T5:T10" si="4">1/(1/J5+1/(P5*C5))</f>
        <v>65.084442128238393</v>
      </c>
    </row>
    <row r="6" spans="1:20">
      <c r="A6" s="2">
        <v>1E-3</v>
      </c>
      <c r="B6" s="1" t="s">
        <v>16</v>
      </c>
      <c r="C6" s="1">
        <v>24.038190642615099</v>
      </c>
      <c r="D6" s="1">
        <f t="shared" si="0"/>
        <v>1.3312150018175719</v>
      </c>
      <c r="E6" s="1">
        <v>66.780560419301295</v>
      </c>
      <c r="F6" s="1"/>
      <c r="G6" s="1">
        <v>60.296666666666603</v>
      </c>
      <c r="H6" s="1">
        <v>60.296666666666603</v>
      </c>
      <c r="I6" s="1">
        <v>115.692125474769</v>
      </c>
      <c r="J6" s="1">
        <v>60.734007449727997</v>
      </c>
      <c r="K6" s="1">
        <v>1.5492096065884</v>
      </c>
      <c r="L6" s="1">
        <v>229.83423664775299</v>
      </c>
      <c r="M6" s="1">
        <v>136.44366077810099</v>
      </c>
      <c r="N6" s="1">
        <v>1.5511920947498099</v>
      </c>
      <c r="O6" s="1">
        <v>362.19914494459402</v>
      </c>
      <c r="P6" s="1">
        <v>272.07163058287102</v>
      </c>
      <c r="Q6">
        <f t="shared" si="1"/>
        <v>37.287851296913395</v>
      </c>
      <c r="R6">
        <f t="shared" si="2"/>
        <v>0.85818836127596576</v>
      </c>
      <c r="S6">
        <f t="shared" si="3"/>
        <v>114.17498578431028</v>
      </c>
      <c r="T6">
        <f t="shared" si="4"/>
        <v>60.175197120208047</v>
      </c>
    </row>
    <row r="7" spans="1:20">
      <c r="A7" s="2">
        <v>5.0000000000000001E-4</v>
      </c>
      <c r="B7" s="1" t="s">
        <v>16</v>
      </c>
      <c r="C7" s="1">
        <v>21.320806517200602</v>
      </c>
      <c r="D7" s="1">
        <f t="shared" si="0"/>
        <v>1.5008813092592881</v>
      </c>
      <c r="E7" s="1">
        <v>72.642072989302306</v>
      </c>
      <c r="F7" s="1"/>
      <c r="G7" s="1">
        <v>57.99</v>
      </c>
      <c r="H7" s="1">
        <v>57.99</v>
      </c>
      <c r="I7" s="1">
        <v>113.905357755027</v>
      </c>
      <c r="J7" s="1">
        <v>58.392614247407501</v>
      </c>
      <c r="K7" s="1">
        <v>1.40651941014204</v>
      </c>
      <c r="L7" s="1">
        <v>242.11971819597599</v>
      </c>
      <c r="M7" s="1">
        <v>149.596321503024</v>
      </c>
      <c r="N7" s="1">
        <v>1.40826849606918</v>
      </c>
      <c r="O7" s="1">
        <v>368.56588924401001</v>
      </c>
      <c r="P7" s="1">
        <v>312.03917315323702</v>
      </c>
      <c r="Q7">
        <f t="shared" si="1"/>
        <v>30.025420128960064</v>
      </c>
      <c r="R7">
        <f t="shared" si="2"/>
        <v>1.0657636050572834</v>
      </c>
      <c r="S7">
        <f t="shared" si="3"/>
        <v>112.2778632769941</v>
      </c>
      <c r="T7">
        <f t="shared" si="4"/>
        <v>57.884562526188589</v>
      </c>
    </row>
    <row r="8" spans="1:20">
      <c r="A8" s="2">
        <v>1E-4</v>
      </c>
      <c r="B8" s="1" t="s">
        <v>16</v>
      </c>
      <c r="C8" s="1">
        <v>14.9483469809306</v>
      </c>
      <c r="D8" s="1">
        <f t="shared" si="0"/>
        <v>2.1407049248202465</v>
      </c>
      <c r="E8" s="1">
        <v>86.371313417974704</v>
      </c>
      <c r="F8" s="1"/>
      <c r="G8" s="1">
        <v>51.332727272727197</v>
      </c>
      <c r="H8" s="1">
        <v>51.332727272727197</v>
      </c>
      <c r="I8" s="1">
        <v>110.46465708436899</v>
      </c>
      <c r="J8" s="1">
        <v>51.6701130627672</v>
      </c>
      <c r="K8" s="1">
        <v>1.21411354577987</v>
      </c>
      <c r="L8" s="1">
        <v>271.80127006357299</v>
      </c>
      <c r="M8" s="1">
        <v>182.290874360392</v>
      </c>
      <c r="N8" s="1">
        <v>1.2145409918786201</v>
      </c>
      <c r="O8" s="1">
        <v>381.36627327814801</v>
      </c>
      <c r="P8" s="1">
        <v>379.85174604867001</v>
      </c>
      <c r="Q8">
        <f t="shared" si="1"/>
        <v>18.155380169165227</v>
      </c>
      <c r="R8">
        <f t="shared" si="2"/>
        <v>1.7625629263521689</v>
      </c>
      <c r="S8">
        <f t="shared" si="3"/>
        <v>108.36486454585811</v>
      </c>
      <c r="T8">
        <f t="shared" si="4"/>
        <v>51.204165114183638</v>
      </c>
    </row>
    <row r="9" spans="1:20">
      <c r="A9" s="2">
        <v>5.0000000000000002E-5</v>
      </c>
      <c r="B9" s="1" t="s">
        <v>16</v>
      </c>
      <c r="C9" s="1">
        <v>12.4957132046026</v>
      </c>
      <c r="D9" s="1">
        <f t="shared" si="0"/>
        <v>2.5608782368831338</v>
      </c>
      <c r="E9" s="1">
        <v>92.220416225734695</v>
      </c>
      <c r="F9" s="1"/>
      <c r="G9" s="1">
        <v>48.486363636363599</v>
      </c>
      <c r="H9" s="1">
        <v>48.486363636363599</v>
      </c>
      <c r="I9" s="1">
        <v>109.12366928738901</v>
      </c>
      <c r="J9" s="1">
        <v>48.825970768710498</v>
      </c>
      <c r="K9" s="1">
        <v>1.16450792124614</v>
      </c>
      <c r="L9" s="1">
        <v>283.11936969434203</v>
      </c>
      <c r="M9" s="1">
        <v>198.07081514127401</v>
      </c>
      <c r="N9" s="1">
        <v>1.16524172965045</v>
      </c>
      <c r="O9" s="1">
        <v>387.310329188661</v>
      </c>
      <c r="P9" s="1">
        <v>394.238568846703</v>
      </c>
      <c r="Q9">
        <f t="shared" si="1"/>
        <v>14.560526467747101</v>
      </c>
      <c r="R9">
        <f t="shared" si="2"/>
        <v>2.1977227314467598</v>
      </c>
      <c r="S9">
        <f t="shared" si="3"/>
        <v>106.71745504934341</v>
      </c>
      <c r="T9">
        <f t="shared" si="4"/>
        <v>48.346791100580496</v>
      </c>
    </row>
    <row r="10" spans="1:20">
      <c r="A10" s="2">
        <v>1.0000000000000001E-5</v>
      </c>
      <c r="B10" s="1" t="s">
        <v>16</v>
      </c>
      <c r="C10" s="1">
        <v>8.2763710238480304</v>
      </c>
      <c r="D10" s="1">
        <f t="shared" si="0"/>
        <v>3.8664288862586376</v>
      </c>
      <c r="E10" s="1">
        <v>106.064391468869</v>
      </c>
      <c r="F10" s="1"/>
      <c r="G10" s="1">
        <v>44.2290909090909</v>
      </c>
      <c r="H10" s="1">
        <v>44.2290909090909</v>
      </c>
      <c r="I10" s="1">
        <v>104.321756916583</v>
      </c>
      <c r="J10" s="1">
        <v>44.6215304396761</v>
      </c>
      <c r="K10" s="1">
        <v>1.09730878372826</v>
      </c>
      <c r="L10" s="1">
        <v>301.31518115088898</v>
      </c>
      <c r="M10" s="1">
        <v>233.70123755894701</v>
      </c>
      <c r="N10" s="1">
        <v>1.0973516712842499</v>
      </c>
      <c r="O10" s="1">
        <v>395.66243534230398</v>
      </c>
      <c r="P10" s="1">
        <v>434.03192366986201</v>
      </c>
      <c r="Q10">
        <f t="shared" si="1"/>
        <v>9.0820895751881743</v>
      </c>
      <c r="R10">
        <f t="shared" si="2"/>
        <v>3.5234182326743877</v>
      </c>
      <c r="S10">
        <f t="shared" si="3"/>
        <v>101.10094520248475</v>
      </c>
      <c r="T10">
        <f t="shared" si="4"/>
        <v>44.074053499894838</v>
      </c>
    </row>
    <row r="11" spans="1:20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20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20">
      <c r="A13" s="2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20">
      <c r="A14" s="2" t="s">
        <v>29</v>
      </c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0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24</v>
      </c>
      <c r="R15" s="1" t="s">
        <v>25</v>
      </c>
      <c r="S15" s="1" t="s">
        <v>26</v>
      </c>
      <c r="T15" s="1" t="s">
        <v>27</v>
      </c>
    </row>
    <row r="16" spans="1:20">
      <c r="A16" s="2">
        <v>0.01</v>
      </c>
      <c r="B16" s="1" t="s">
        <v>16</v>
      </c>
      <c r="C16" s="1">
        <v>27.556892289189701</v>
      </c>
      <c r="D16" s="1">
        <f t="shared" ref="D16:D22" si="5">32/C16</f>
        <v>1.1612339905451996</v>
      </c>
      <c r="E16" s="1">
        <v>51.907349552025501</v>
      </c>
      <c r="F16" s="1"/>
      <c r="G16" s="1">
        <v>49.011515151515098</v>
      </c>
      <c r="H16" s="1">
        <v>49.011515151515098</v>
      </c>
      <c r="I16" s="1">
        <v>64.543355657262197</v>
      </c>
      <c r="J16" s="1">
        <v>47.399951909981198</v>
      </c>
      <c r="K16" s="1">
        <v>4.0400552993008301</v>
      </c>
      <c r="L16" s="1">
        <v>224.56810660182401</v>
      </c>
      <c r="M16" s="1">
        <v>115.558644216307</v>
      </c>
      <c r="N16" s="1">
        <v>4.0480558497721404</v>
      </c>
      <c r="O16" s="1">
        <v>372.21176408641298</v>
      </c>
      <c r="P16" s="1">
        <v>220.05432359383801</v>
      </c>
      <c r="Q16">
        <f>C16*N16</f>
        <v>111.55183903279516</v>
      </c>
      <c r="R16">
        <f>D16/N16</f>
        <v>0.28686214658094794</v>
      </c>
      <c r="S16">
        <f>1/(1/I16+1/(O16*C16))</f>
        <v>64.139748868906224</v>
      </c>
      <c r="T16">
        <f>1/(1/J16+1/(P16*C16))</f>
        <v>47.032319195416704</v>
      </c>
    </row>
    <row r="17" spans="1:20">
      <c r="A17" s="2">
        <v>5.0000000000000001E-3</v>
      </c>
      <c r="B17" s="1" t="s">
        <v>16</v>
      </c>
      <c r="C17" s="1">
        <v>26.355962800759599</v>
      </c>
      <c r="D17" s="1">
        <f t="shared" si="5"/>
        <v>1.2141465004297902</v>
      </c>
      <c r="E17" s="1">
        <v>56.794998422286703</v>
      </c>
      <c r="F17" s="1"/>
      <c r="G17" s="1">
        <v>48.236060606060597</v>
      </c>
      <c r="H17" s="1">
        <v>48.236060606060597</v>
      </c>
      <c r="I17" s="1">
        <v>64.2950331116987</v>
      </c>
      <c r="J17" s="1">
        <v>46.673804558855103</v>
      </c>
      <c r="K17" s="1">
        <v>3.11172821759346</v>
      </c>
      <c r="L17" s="1">
        <v>222.084512064347</v>
      </c>
      <c r="M17" s="1">
        <v>120.662493931135</v>
      </c>
      <c r="N17" s="1">
        <v>3.1165200060567302</v>
      </c>
      <c r="O17" s="1">
        <v>360.46840997486999</v>
      </c>
      <c r="P17" s="1">
        <v>220.73508615273099</v>
      </c>
      <c r="Q17">
        <f t="shared" ref="Q17:Q22" si="6">C17*N17</f>
        <v>82.138885347454263</v>
      </c>
      <c r="R17">
        <f t="shared" ref="R17:R22" si="7">D17/N17</f>
        <v>0.38958405467322038</v>
      </c>
      <c r="S17">
        <f t="shared" ref="S17:S22" si="8">1/(1/I17+1/(O17*C17))</f>
        <v>63.862838305193172</v>
      </c>
      <c r="T17">
        <f t="shared" ref="T17:T22" si="9">1/(1/J17+1/(P17*C17))</f>
        <v>46.302332785497001</v>
      </c>
    </row>
    <row r="18" spans="1:20">
      <c r="A18" s="2">
        <v>1E-3</v>
      </c>
      <c r="B18" s="1" t="s">
        <v>16</v>
      </c>
      <c r="C18" s="1">
        <v>22.138732517149201</v>
      </c>
      <c r="D18" s="1">
        <f t="shared" si="5"/>
        <v>1.4454305356104746</v>
      </c>
      <c r="E18" s="1">
        <v>69.213320412911202</v>
      </c>
      <c r="F18" s="1"/>
      <c r="G18" s="1">
        <v>46.054242424242403</v>
      </c>
      <c r="H18" s="1">
        <v>46.054242424242403</v>
      </c>
      <c r="I18" s="1">
        <v>63.640821776234603</v>
      </c>
      <c r="J18" s="1">
        <v>44.629855774228801</v>
      </c>
      <c r="K18" s="1">
        <v>1.9358106108844999</v>
      </c>
      <c r="L18" s="1">
        <v>230.40181006195499</v>
      </c>
      <c r="M18" s="1">
        <v>136.17702490260501</v>
      </c>
      <c r="N18" s="1">
        <v>1.937342996813</v>
      </c>
      <c r="O18" s="1">
        <v>343.46306422411197</v>
      </c>
      <c r="P18" s="1">
        <v>233.815368779518</v>
      </c>
      <c r="Q18">
        <f t="shared" si="6"/>
        <v>42.890318400415246</v>
      </c>
      <c r="R18">
        <f t="shared" si="7"/>
        <v>0.74608912205441191</v>
      </c>
      <c r="S18">
        <f t="shared" si="8"/>
        <v>63.112596675504783</v>
      </c>
      <c r="T18">
        <f t="shared" si="9"/>
        <v>44.248353796138339</v>
      </c>
    </row>
    <row r="19" spans="1:20">
      <c r="A19" s="2">
        <v>5.0000000000000001E-4</v>
      </c>
      <c r="B19" s="1" t="s">
        <v>16</v>
      </c>
      <c r="C19" s="1">
        <v>19.925715939712799</v>
      </c>
      <c r="D19" s="1">
        <f t="shared" si="5"/>
        <v>1.6059648795967547</v>
      </c>
      <c r="E19" s="1">
        <v>74.609051598955702</v>
      </c>
      <c r="F19" s="1"/>
      <c r="G19" s="1">
        <v>44.644848484848403</v>
      </c>
      <c r="H19" s="1">
        <v>44.644848484848403</v>
      </c>
      <c r="I19" s="1">
        <v>63.296549748649099</v>
      </c>
      <c r="J19" s="1">
        <v>43.303765108779203</v>
      </c>
      <c r="K19" s="1">
        <v>1.67196465835565</v>
      </c>
      <c r="L19" s="1">
        <v>236.505445461287</v>
      </c>
      <c r="M19" s="1">
        <v>142.50259647374301</v>
      </c>
      <c r="N19" s="1">
        <v>1.67401267358896</v>
      </c>
      <c r="O19" s="1">
        <v>340.36433857082397</v>
      </c>
      <c r="P19" s="1">
        <v>245.67787161723501</v>
      </c>
      <c r="Q19">
        <f t="shared" si="6"/>
        <v>33.355901013412776</v>
      </c>
      <c r="R19">
        <f t="shared" si="7"/>
        <v>0.95935049055135535</v>
      </c>
      <c r="S19">
        <f t="shared" si="8"/>
        <v>62.711264458063461</v>
      </c>
      <c r="T19">
        <f t="shared" si="9"/>
        <v>42.924059969303542</v>
      </c>
    </row>
    <row r="20" spans="1:20">
      <c r="A20" s="2">
        <v>1E-4</v>
      </c>
      <c r="B20" s="1" t="s">
        <v>16</v>
      </c>
      <c r="C20" s="1">
        <v>14.165933030097101</v>
      </c>
      <c r="D20" s="1">
        <f t="shared" si="5"/>
        <v>2.25894051115535</v>
      </c>
      <c r="E20" s="1">
        <v>87.652855637664402</v>
      </c>
      <c r="F20" s="1"/>
      <c r="G20" s="1">
        <v>41.288484848484799</v>
      </c>
      <c r="H20" s="1">
        <v>41.288484848484799</v>
      </c>
      <c r="I20" s="1">
        <v>62.350204967183302</v>
      </c>
      <c r="J20" s="1">
        <v>40.285984377730301</v>
      </c>
      <c r="K20" s="1">
        <v>1.3262880917739699</v>
      </c>
      <c r="L20" s="1">
        <v>252.618339081568</v>
      </c>
      <c r="M20" s="1">
        <v>161.764878915098</v>
      </c>
      <c r="N20" s="1">
        <v>1.3270936625077101</v>
      </c>
      <c r="O20" s="1">
        <v>346.58788988512799</v>
      </c>
      <c r="P20" s="1">
        <v>295.81810709733998</v>
      </c>
      <c r="Q20">
        <f t="shared" si="6"/>
        <v>18.799519947750504</v>
      </c>
      <c r="R20">
        <f t="shared" si="7"/>
        <v>1.7021711239934627</v>
      </c>
      <c r="S20">
        <f t="shared" si="8"/>
        <v>61.568331098319028</v>
      </c>
      <c r="T20">
        <f t="shared" si="9"/>
        <v>39.902380623453865</v>
      </c>
    </row>
    <row r="21" spans="1:20">
      <c r="A21" s="2">
        <v>5.0000000000000002E-5</v>
      </c>
      <c r="B21" s="1" t="s">
        <v>16</v>
      </c>
      <c r="C21" s="1">
        <v>11.6812916350036</v>
      </c>
      <c r="D21" s="1">
        <f t="shared" si="5"/>
        <v>2.7394230877782668</v>
      </c>
      <c r="E21" s="1">
        <v>93.1211254204173</v>
      </c>
      <c r="F21" s="1"/>
      <c r="G21" s="1">
        <v>40.402424242424203</v>
      </c>
      <c r="H21" s="1">
        <v>40.402424242424203</v>
      </c>
      <c r="I21" s="1">
        <v>61.914885514496497</v>
      </c>
      <c r="J21" s="1">
        <v>39.3356248905272</v>
      </c>
      <c r="K21" s="1">
        <v>1.2390647898259799</v>
      </c>
      <c r="L21" s="1">
        <v>263.04012600170103</v>
      </c>
      <c r="M21" s="1">
        <v>171.81889183448601</v>
      </c>
      <c r="N21" s="1">
        <v>1.24007226214004</v>
      </c>
      <c r="O21" s="1">
        <v>354.60248581992499</v>
      </c>
      <c r="P21" s="1">
        <v>304.11542956767499</v>
      </c>
      <c r="Q21">
        <f t="shared" si="6"/>
        <v>14.485645742536439</v>
      </c>
      <c r="R21">
        <f t="shared" si="7"/>
        <v>2.2090834311951628</v>
      </c>
      <c r="S21">
        <f t="shared" si="8"/>
        <v>61.003055217661441</v>
      </c>
      <c r="T21">
        <f t="shared" si="9"/>
        <v>38.90484009478206</v>
      </c>
    </row>
    <row r="22" spans="1:20">
      <c r="A22" s="2">
        <v>1.0000000000000001E-5</v>
      </c>
      <c r="B22" s="1" t="s">
        <v>16</v>
      </c>
      <c r="C22" s="3">
        <v>7.2368887995858104</v>
      </c>
      <c r="D22" s="3">
        <f t="shared" si="5"/>
        <v>4.4217896510765042</v>
      </c>
      <c r="E22" s="3">
        <v>106.35192087945499</v>
      </c>
      <c r="F22" s="1"/>
      <c r="G22" s="1">
        <v>38.323124999999997</v>
      </c>
      <c r="H22" s="1">
        <v>38.323124999999997</v>
      </c>
      <c r="I22" s="1">
        <v>60.978959577421698</v>
      </c>
      <c r="J22" s="1">
        <v>37.4853812941518</v>
      </c>
      <c r="K22" s="1">
        <v>1.14755612860499</v>
      </c>
      <c r="L22" s="1">
        <v>286.56901827674801</v>
      </c>
      <c r="M22" s="1">
        <v>207.18746132060301</v>
      </c>
      <c r="N22" s="1">
        <v>1.1481792559272901</v>
      </c>
      <c r="O22" s="1">
        <v>366.87959356093103</v>
      </c>
      <c r="P22" s="1">
        <v>335.82643861003299</v>
      </c>
      <c r="Q22">
        <f t="shared" si="6"/>
        <v>8.3092455971369752</v>
      </c>
      <c r="R22">
        <f t="shared" si="7"/>
        <v>3.8511318056389965</v>
      </c>
      <c r="S22">
        <f t="shared" si="8"/>
        <v>59.609898151014121</v>
      </c>
      <c r="T22">
        <f t="shared" si="9"/>
        <v>36.915991489258701</v>
      </c>
    </row>
    <row r="23" spans="1:20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0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0">
      <c r="A25" s="2" t="s">
        <v>19</v>
      </c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0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 t="s">
        <v>8</v>
      </c>
      <c r="J26" s="1" t="s">
        <v>9</v>
      </c>
      <c r="K26" s="1" t="s">
        <v>10</v>
      </c>
      <c r="L26" s="1" t="s">
        <v>11</v>
      </c>
      <c r="M26" s="1" t="s">
        <v>12</v>
      </c>
      <c r="N26" s="1" t="s">
        <v>13</v>
      </c>
      <c r="O26" s="1" t="s">
        <v>14</v>
      </c>
      <c r="P26" s="1" t="s">
        <v>15</v>
      </c>
      <c r="Q26" s="1" t="s">
        <v>24</v>
      </c>
      <c r="R26" s="1" t="s">
        <v>25</v>
      </c>
      <c r="S26" s="1" t="s">
        <v>26</v>
      </c>
      <c r="T26" s="1" t="s">
        <v>27</v>
      </c>
    </row>
    <row r="27" spans="1:20">
      <c r="A27" s="2">
        <v>0.01</v>
      </c>
      <c r="B27" s="1" t="s">
        <v>16</v>
      </c>
      <c r="C27" s="1">
        <v>17.3364288444842</v>
      </c>
      <c r="D27" s="1">
        <f t="shared" ref="D27:D33" si="10">32/C27</f>
        <v>1.8458242056109033</v>
      </c>
      <c r="E27" s="1">
        <v>47.679508697861102</v>
      </c>
      <c r="F27" s="1"/>
      <c r="G27" s="1">
        <v>121.407660272727</v>
      </c>
      <c r="H27" s="1">
        <v>156.35938303030301</v>
      </c>
      <c r="I27" s="1">
        <v>158.17637452301599</v>
      </c>
      <c r="J27" s="1">
        <v>200.928646416898</v>
      </c>
      <c r="K27" s="1">
        <v>3.6570539960714101</v>
      </c>
      <c r="L27" s="1">
        <v>234.88223413836999</v>
      </c>
      <c r="M27" s="1">
        <v>173.61670652931801</v>
      </c>
      <c r="N27" s="1">
        <v>3.6641375703384398</v>
      </c>
      <c r="O27" s="1">
        <v>338.706698928891</v>
      </c>
      <c r="P27" s="1">
        <v>311.34163955856297</v>
      </c>
      <c r="Q27">
        <f>C27*N27</f>
        <v>63.52306026457358</v>
      </c>
      <c r="R27">
        <f>D27/N27</f>
        <v>0.50375406768376685</v>
      </c>
      <c r="S27">
        <f>1/(1/I27+1/(O27*C27))</f>
        <v>154.02725667906404</v>
      </c>
      <c r="T27">
        <f>1/(1/J27+1/(P27*C27))</f>
        <v>193.7173471021643</v>
      </c>
    </row>
    <row r="28" spans="1:20">
      <c r="A28" s="2">
        <v>5.0000000000000001E-3</v>
      </c>
      <c r="B28" s="1" t="s">
        <v>16</v>
      </c>
      <c r="C28" s="1">
        <v>13.9205002814083</v>
      </c>
      <c r="D28" s="1">
        <f t="shared" si="10"/>
        <v>2.2987679575523594</v>
      </c>
      <c r="E28" s="1">
        <v>53.3308308346122</v>
      </c>
      <c r="F28" s="1"/>
      <c r="G28" s="1">
        <v>115.98806878787801</v>
      </c>
      <c r="H28" s="1">
        <v>135.403544484848</v>
      </c>
      <c r="I28" s="1">
        <v>150.12027769572899</v>
      </c>
      <c r="J28" s="1">
        <v>174.42079443381601</v>
      </c>
      <c r="K28" s="1">
        <v>2.9151401948325302</v>
      </c>
      <c r="L28" s="1">
        <v>247.309441324093</v>
      </c>
      <c r="M28" s="1">
        <v>179.54406967679799</v>
      </c>
      <c r="N28" s="1">
        <v>2.9183601694602399</v>
      </c>
      <c r="O28" s="1">
        <v>341.5177051723</v>
      </c>
      <c r="P28" s="1">
        <v>300.475568768507</v>
      </c>
      <c r="Q28">
        <f t="shared" ref="Q28:Q33" si="11">C28*N28</f>
        <v>40.625033560222043</v>
      </c>
      <c r="R28">
        <f t="shared" ref="R28:R33" si="12">D28/N28</f>
        <v>0.78769165698198385</v>
      </c>
      <c r="S28">
        <f t="shared" ref="S28:S33" si="13">1/(1/I28+1/(O28*C28))</f>
        <v>145.5250293471266</v>
      </c>
      <c r="T28">
        <f t="shared" ref="T28:T33" si="14">1/(1/J28+1/(P28*C28))</f>
        <v>167.43863246448632</v>
      </c>
    </row>
    <row r="29" spans="1:20">
      <c r="A29" s="2">
        <v>1E-3</v>
      </c>
      <c r="B29" s="1" t="s">
        <v>16</v>
      </c>
      <c r="C29" s="1">
        <v>9.1350385145504198</v>
      </c>
      <c r="D29" s="1">
        <f t="shared" si="10"/>
        <v>3.5029956303993619</v>
      </c>
      <c r="E29" s="1">
        <v>66.780559996207103</v>
      </c>
      <c r="F29" s="1"/>
      <c r="G29" s="1">
        <v>104.58346330303</v>
      </c>
      <c r="H29" s="1">
        <v>117.776366484848</v>
      </c>
      <c r="I29" s="1">
        <v>130.669726703686</v>
      </c>
      <c r="J29" s="1">
        <v>137.30779812013401</v>
      </c>
      <c r="K29" s="1">
        <v>1.93329214339464</v>
      </c>
      <c r="L29" s="1">
        <v>257.62566933533401</v>
      </c>
      <c r="M29" s="1">
        <v>180.577761518356</v>
      </c>
      <c r="N29" s="1">
        <v>1.9352470125738901</v>
      </c>
      <c r="O29" s="1">
        <v>338.98890301991099</v>
      </c>
      <c r="P29" s="1">
        <v>266.93270290868099</v>
      </c>
      <c r="Q29">
        <f t="shared" si="11"/>
        <v>17.678555995031125</v>
      </c>
      <c r="R29">
        <f t="shared" si="12"/>
        <v>1.8101025903356682</v>
      </c>
      <c r="S29">
        <f t="shared" si="13"/>
        <v>125.37913334983674</v>
      </c>
      <c r="T29">
        <f t="shared" si="14"/>
        <v>129.98820432351775</v>
      </c>
    </row>
    <row r="30" spans="1:20">
      <c r="A30" s="2">
        <v>5.0000000000000001E-4</v>
      </c>
      <c r="B30" s="1" t="s">
        <v>16</v>
      </c>
      <c r="C30" s="1">
        <v>7.8284401447666303</v>
      </c>
      <c r="D30" s="1">
        <f t="shared" si="10"/>
        <v>4.0876597902319318</v>
      </c>
      <c r="E30" s="1">
        <v>72.642072438312695</v>
      </c>
      <c r="F30" s="1"/>
      <c r="G30" s="1">
        <v>99.235956848484804</v>
      </c>
      <c r="H30" s="1">
        <v>107.83146006060601</v>
      </c>
      <c r="I30" s="1">
        <v>122.40903329721399</v>
      </c>
      <c r="J30" s="1">
        <v>126.934189624875</v>
      </c>
      <c r="K30" s="1">
        <v>1.7037549491117601</v>
      </c>
      <c r="L30" s="1">
        <v>264.22380970769899</v>
      </c>
      <c r="M30" s="1">
        <v>176.05239133548301</v>
      </c>
      <c r="N30" s="1">
        <v>1.70501714806424</v>
      </c>
      <c r="O30" s="1">
        <v>336.50998309004501</v>
      </c>
      <c r="P30" s="1">
        <v>255.221302304951</v>
      </c>
      <c r="Q30">
        <f t="shared" si="11"/>
        <v>13.347624689421606</v>
      </c>
      <c r="R30">
        <f t="shared" si="12"/>
        <v>2.3974303102304759</v>
      </c>
      <c r="S30">
        <f t="shared" si="13"/>
        <v>116.97367217014435</v>
      </c>
      <c r="T30">
        <f t="shared" si="14"/>
        <v>119.35164675248902</v>
      </c>
    </row>
    <row r="31" spans="1:20">
      <c r="A31" s="2">
        <v>1E-4</v>
      </c>
      <c r="B31" s="1" t="s">
        <v>16</v>
      </c>
      <c r="C31" s="1">
        <v>5.7174927952847501</v>
      </c>
      <c r="D31" s="1">
        <f t="shared" si="10"/>
        <v>5.5968588235722114</v>
      </c>
      <c r="E31" s="1">
        <v>86.371313467900094</v>
      </c>
      <c r="F31" s="1"/>
      <c r="G31" s="1">
        <v>85.714324303030295</v>
      </c>
      <c r="H31" s="1">
        <v>97.505455515151496</v>
      </c>
      <c r="I31" s="1">
        <v>103.641944736086</v>
      </c>
      <c r="J31" s="1">
        <v>111.033570259998</v>
      </c>
      <c r="K31" s="1">
        <v>1.4115975873081099</v>
      </c>
      <c r="L31" s="1">
        <v>268.19065159224698</v>
      </c>
      <c r="M31" s="1">
        <v>169.67092146256101</v>
      </c>
      <c r="N31" s="1">
        <v>1.41256919807549</v>
      </c>
      <c r="O31" s="1">
        <v>336.40678060472101</v>
      </c>
      <c r="P31" s="1">
        <v>244.214495626652</v>
      </c>
      <c r="Q31">
        <f t="shared" si="11"/>
        <v>8.0763542128377708</v>
      </c>
      <c r="R31">
        <f t="shared" si="12"/>
        <v>3.9621838216474448</v>
      </c>
      <c r="S31">
        <f t="shared" si="13"/>
        <v>98.342777141613539</v>
      </c>
      <c r="T31">
        <f t="shared" si="14"/>
        <v>102.85455933823324</v>
      </c>
    </row>
    <row r="32" spans="1:20">
      <c r="A32" s="2">
        <v>5.0000000000000002E-5</v>
      </c>
      <c r="B32" s="1" t="s">
        <v>16</v>
      </c>
      <c r="C32" s="1">
        <v>5.0984704693028604</v>
      </c>
      <c r="D32" s="1">
        <f t="shared" si="10"/>
        <v>6.2763921440101074</v>
      </c>
      <c r="E32" s="1">
        <v>92.220415427554997</v>
      </c>
      <c r="F32" s="1"/>
      <c r="G32" s="1">
        <v>82.620313181818105</v>
      </c>
      <c r="H32" s="1">
        <v>94.572870181818104</v>
      </c>
      <c r="I32" s="1">
        <v>96.708332992883001</v>
      </c>
      <c r="J32" s="1">
        <v>106.007688457798</v>
      </c>
      <c r="K32" s="1">
        <v>1.3448004659884201</v>
      </c>
      <c r="L32" s="1">
        <v>273.54004831526998</v>
      </c>
      <c r="M32" s="1">
        <v>172.35827038277</v>
      </c>
      <c r="N32" s="1">
        <v>1.34590305286974</v>
      </c>
      <c r="O32" s="1">
        <v>339.158866700641</v>
      </c>
      <c r="P32" s="1">
        <v>248.255327196661</v>
      </c>
      <c r="Q32">
        <f t="shared" si="11"/>
        <v>6.8620469696009359</v>
      </c>
      <c r="R32">
        <f t="shared" si="12"/>
        <v>4.6633315309208623</v>
      </c>
      <c r="S32">
        <f t="shared" si="13"/>
        <v>91.586199963452756</v>
      </c>
      <c r="T32">
        <f t="shared" si="14"/>
        <v>97.81538469501227</v>
      </c>
    </row>
    <row r="33" spans="1:20">
      <c r="A33" s="2">
        <v>1.0000000000000001E-5</v>
      </c>
      <c r="B33" s="1" t="s">
        <v>16</v>
      </c>
      <c r="C33" s="1">
        <v>4.0375323633948899</v>
      </c>
      <c r="D33" s="1">
        <f t="shared" si="10"/>
        <v>7.9256330649182338</v>
      </c>
      <c r="E33" s="1">
        <v>106.06439292124099</v>
      </c>
      <c r="F33" s="1"/>
      <c r="G33" s="1">
        <v>70.991196909090903</v>
      </c>
      <c r="H33" s="1">
        <v>85.751574272727197</v>
      </c>
      <c r="I33" s="1">
        <v>82.439937249368697</v>
      </c>
      <c r="J33" s="1">
        <v>95.659990831588701</v>
      </c>
      <c r="K33" s="1">
        <v>1.2621036000060499</v>
      </c>
      <c r="L33" s="1">
        <v>283.63071767513497</v>
      </c>
      <c r="M33" s="1">
        <v>184.864985841091</v>
      </c>
      <c r="N33" s="1">
        <v>1.2625118331552301</v>
      </c>
      <c r="O33" s="1">
        <v>346.83436209072198</v>
      </c>
      <c r="P33" s="1">
        <v>263.93654984354799</v>
      </c>
      <c r="Q33">
        <f t="shared" si="11"/>
        <v>5.0974323855332511</v>
      </c>
      <c r="R33">
        <f t="shared" si="12"/>
        <v>6.2776703210066076</v>
      </c>
      <c r="S33">
        <f t="shared" si="13"/>
        <v>77.856469057919583</v>
      </c>
      <c r="T33">
        <f t="shared" si="14"/>
        <v>87.780255612580945</v>
      </c>
    </row>
    <row r="34" spans="1:20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20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20">
      <c r="A36" s="2" t="s">
        <v>20</v>
      </c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20">
      <c r="A37" s="2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20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20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20">
      <c r="A40" s="2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20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20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20">
      <c r="A43" s="2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20">
      <c r="A44" s="2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20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0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0">
      <c r="A47" s="2" t="s">
        <v>22</v>
      </c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0">
      <c r="A48" s="1" t="s">
        <v>21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1" t="s">
        <v>11</v>
      </c>
      <c r="M48" s="1" t="s">
        <v>12</v>
      </c>
      <c r="N48" s="1" t="s">
        <v>13</v>
      </c>
      <c r="O48" s="1" t="s">
        <v>14</v>
      </c>
      <c r="P48" s="1" t="s">
        <v>15</v>
      </c>
      <c r="Q48" s="1" t="s">
        <v>24</v>
      </c>
      <c r="R48" s="1" t="s">
        <v>25</v>
      </c>
      <c r="S48" s="1" t="s">
        <v>26</v>
      </c>
      <c r="T48" s="1" t="s">
        <v>27</v>
      </c>
    </row>
    <row r="49" spans="1:20">
      <c r="A49" s="1">
        <v>0.5</v>
      </c>
      <c r="B49" s="1" t="s">
        <v>16</v>
      </c>
      <c r="C49" s="1">
        <v>64</v>
      </c>
      <c r="D49" s="1">
        <v>0.5</v>
      </c>
      <c r="E49" s="1">
        <v>34.876011078593898</v>
      </c>
      <c r="F49" s="1"/>
      <c r="G49" s="1"/>
      <c r="H49" s="1"/>
      <c r="I49" s="1">
        <v>555.05595074172197</v>
      </c>
      <c r="J49" s="1">
        <v>626.68012395574704</v>
      </c>
      <c r="K49" s="1">
        <v>2.00470338788362</v>
      </c>
      <c r="L49" s="1">
        <v>177.47312091018301</v>
      </c>
      <c r="M49" s="1">
        <v>67.994902686281307</v>
      </c>
      <c r="N49" s="1">
        <v>2.0083726786173202</v>
      </c>
      <c r="O49" s="1">
        <v>285.16874011175003</v>
      </c>
      <c r="P49" s="1">
        <v>173.71977769521899</v>
      </c>
      <c r="Q49">
        <f>C49*N49</f>
        <v>128.53585143150849</v>
      </c>
      <c r="R49">
        <f>D49/N49</f>
        <v>0.24895777826664567</v>
      </c>
      <c r="S49">
        <f>1/(1/I49+1/(O49*C49))</f>
        <v>538.6734409730409</v>
      </c>
      <c r="T49">
        <f>1/(1/J49+1/(P49*C49))</f>
        <v>593.24151394036085</v>
      </c>
    </row>
    <row r="50" spans="1:20">
      <c r="A50" s="1">
        <v>1</v>
      </c>
      <c r="B50" s="1" t="s">
        <v>16</v>
      </c>
      <c r="C50" s="1">
        <v>32</v>
      </c>
      <c r="D50" s="1">
        <v>1</v>
      </c>
      <c r="E50" s="1">
        <v>46.620533189293504</v>
      </c>
      <c r="F50" s="1"/>
      <c r="G50" s="1"/>
      <c r="H50" s="1"/>
      <c r="I50" s="1">
        <v>408.24784001469698</v>
      </c>
      <c r="J50" s="1">
        <v>458.76750812768699</v>
      </c>
      <c r="K50" s="1">
        <v>1.7864568657459801</v>
      </c>
      <c r="L50" s="1">
        <v>192.79316712029899</v>
      </c>
      <c r="M50" s="1">
        <v>108.373287225924</v>
      </c>
      <c r="N50" s="1">
        <v>1.7877307059891001</v>
      </c>
      <c r="O50" s="1">
        <v>316.04708250323199</v>
      </c>
      <c r="P50" s="1">
        <v>196.064322591463</v>
      </c>
      <c r="Q50">
        <f t="shared" ref="Q50:Q55" si="15">C50*N50</f>
        <v>57.207382591651204</v>
      </c>
      <c r="R50">
        <f t="shared" ref="R50:R55" si="16">D50/N50</f>
        <v>0.55936836384243271</v>
      </c>
      <c r="S50">
        <f t="shared" ref="S50:S55" si="17">1/(1/I50+1/(O50*C50))</f>
        <v>392.40767769275743</v>
      </c>
      <c r="T50">
        <f t="shared" ref="T50:T55" si="18">1/(1/J50+1/(P50*C50))</f>
        <v>427.50758372225738</v>
      </c>
    </row>
    <row r="51" spans="1:20">
      <c r="A51" s="1">
        <v>2</v>
      </c>
      <c r="B51" s="1" t="s">
        <v>16</v>
      </c>
      <c r="C51" s="1">
        <v>16</v>
      </c>
      <c r="D51" s="1">
        <v>2</v>
      </c>
      <c r="E51" s="1">
        <v>60.515745679018899</v>
      </c>
      <c r="F51" s="1"/>
      <c r="G51" s="1"/>
      <c r="H51" s="1"/>
      <c r="I51" s="1">
        <v>282.080014416251</v>
      </c>
      <c r="J51" s="1">
        <v>334.771857392794</v>
      </c>
      <c r="K51" s="1">
        <v>1.09696748842527</v>
      </c>
      <c r="L51" s="1">
        <v>236.33911266238701</v>
      </c>
      <c r="M51" s="1">
        <v>158.79162236892199</v>
      </c>
      <c r="N51" s="1">
        <v>1.0972945765301201</v>
      </c>
      <c r="O51" s="1">
        <v>323.19416855703503</v>
      </c>
      <c r="P51" s="1">
        <v>324.43963995285401</v>
      </c>
      <c r="Q51">
        <f t="shared" si="15"/>
        <v>17.556713224481921</v>
      </c>
      <c r="R51">
        <f t="shared" si="16"/>
        <v>1.8226646178498642</v>
      </c>
      <c r="S51">
        <f t="shared" si="17"/>
        <v>267.48870501403115</v>
      </c>
      <c r="T51">
        <f t="shared" si="18"/>
        <v>314.49025602238061</v>
      </c>
    </row>
    <row r="52" spans="1:20">
      <c r="A52" s="1">
        <v>4</v>
      </c>
      <c r="B52" s="1" t="s">
        <v>16</v>
      </c>
      <c r="C52" s="1">
        <v>8</v>
      </c>
      <c r="D52" s="1">
        <v>4</v>
      </c>
      <c r="E52" s="1">
        <v>74.117993782956006</v>
      </c>
      <c r="F52" s="1"/>
      <c r="G52" s="1"/>
      <c r="H52" s="1"/>
      <c r="I52" s="1">
        <v>133.98323824430301</v>
      </c>
      <c r="J52" s="1">
        <v>233.45649203489899</v>
      </c>
      <c r="K52" s="1">
        <v>1.09178943840887</v>
      </c>
      <c r="L52" s="1">
        <v>301.82540285103403</v>
      </c>
      <c r="M52" s="1">
        <v>270.30463097423899</v>
      </c>
      <c r="N52" s="1">
        <v>1.09267945484864</v>
      </c>
      <c r="O52" s="1">
        <v>392.80313375345901</v>
      </c>
      <c r="P52" s="1">
        <v>494.76270356268299</v>
      </c>
      <c r="Q52">
        <f t="shared" si="15"/>
        <v>8.7414356387891203</v>
      </c>
      <c r="R52">
        <f t="shared" si="16"/>
        <v>3.6607259176059892</v>
      </c>
      <c r="S52">
        <f t="shared" si="17"/>
        <v>128.50421779220997</v>
      </c>
      <c r="T52">
        <f t="shared" si="18"/>
        <v>220.45370593342253</v>
      </c>
    </row>
    <row r="53" spans="1:20">
      <c r="A53" s="1">
        <v>6</v>
      </c>
      <c r="B53" s="1" t="s">
        <v>16</v>
      </c>
      <c r="C53" s="1">
        <v>5.3333333333333304</v>
      </c>
      <c r="D53" s="1">
        <v>6</v>
      </c>
      <c r="E53" s="1">
        <v>85.399675183576306</v>
      </c>
      <c r="F53" s="1"/>
      <c r="G53" s="1"/>
      <c r="H53" s="1"/>
      <c r="I53" s="1">
        <v>105.998649127786</v>
      </c>
      <c r="J53" s="1">
        <v>194.32930355105</v>
      </c>
      <c r="K53" s="1">
        <v>1.0977318433313701</v>
      </c>
      <c r="L53" s="1">
        <v>322.86154966945401</v>
      </c>
      <c r="M53" s="1">
        <v>325.28848182949702</v>
      </c>
      <c r="N53" s="1">
        <v>1.0987253788584399</v>
      </c>
      <c r="O53" s="1">
        <v>407.26996621361502</v>
      </c>
      <c r="P53" s="1">
        <v>534.72034495441403</v>
      </c>
      <c r="Q53">
        <f t="shared" si="15"/>
        <v>5.8598686872450099</v>
      </c>
      <c r="R53">
        <f t="shared" si="16"/>
        <v>5.4608732222367662</v>
      </c>
      <c r="S53">
        <f t="shared" si="17"/>
        <v>101.06660563192939</v>
      </c>
      <c r="T53">
        <f t="shared" si="18"/>
        <v>181.93214119804205</v>
      </c>
    </row>
    <row r="54" spans="1:20">
      <c r="A54" s="1">
        <v>8</v>
      </c>
      <c r="B54" s="1" t="s">
        <v>16</v>
      </c>
      <c r="C54" s="1">
        <v>4</v>
      </c>
      <c r="D54" s="1">
        <v>8</v>
      </c>
      <c r="E54" s="1">
        <v>97.081184710164706</v>
      </c>
      <c r="F54" s="1"/>
      <c r="G54" s="1"/>
      <c r="H54" s="1"/>
      <c r="I54" s="1">
        <v>93.027347762675205</v>
      </c>
      <c r="J54" s="1">
        <v>175.159513805008</v>
      </c>
      <c r="K54" s="1">
        <v>1.10249736896301</v>
      </c>
      <c r="L54" s="1">
        <v>332.55730191831799</v>
      </c>
      <c r="M54" s="1">
        <v>364.38914335539403</v>
      </c>
      <c r="N54" s="1">
        <v>1.1038487434508</v>
      </c>
      <c r="O54" s="1">
        <v>414.75386470206797</v>
      </c>
      <c r="P54" s="1">
        <v>551.68687223161101</v>
      </c>
      <c r="Q54">
        <f t="shared" si="15"/>
        <v>4.4153949738031999</v>
      </c>
      <c r="R54">
        <f t="shared" si="16"/>
        <v>7.2473697573734395</v>
      </c>
      <c r="S54">
        <f t="shared" si="17"/>
        <v>88.087920826700241</v>
      </c>
      <c r="T54">
        <f t="shared" si="18"/>
        <v>162.27871902955141</v>
      </c>
    </row>
    <row r="55" spans="1:20">
      <c r="A55" s="1">
        <v>12</v>
      </c>
      <c r="B55" s="1" t="s">
        <v>16</v>
      </c>
      <c r="C55" s="1">
        <v>2.6666666666666599</v>
      </c>
      <c r="D55" s="1">
        <v>12</v>
      </c>
      <c r="E55" s="1">
        <v>121.05712904265501</v>
      </c>
      <c r="F55" s="1"/>
      <c r="G55" s="1"/>
      <c r="H55" s="1"/>
      <c r="I55" s="1">
        <v>81.851684893476005</v>
      </c>
      <c r="J55" s="1">
        <v>154.223885536799</v>
      </c>
      <c r="K55" s="1">
        <v>1.1089941468578199</v>
      </c>
      <c r="L55" s="1">
        <v>339.99089302307198</v>
      </c>
      <c r="M55" s="1">
        <v>404.54497643037399</v>
      </c>
      <c r="N55" s="1">
        <v>1.11004714501639</v>
      </c>
      <c r="O55" s="1">
        <v>418.90738107863501</v>
      </c>
      <c r="P55" s="1">
        <v>527.43780125703404</v>
      </c>
      <c r="Q55">
        <f t="shared" si="15"/>
        <v>2.960125720043699</v>
      </c>
      <c r="R55">
        <f t="shared" si="16"/>
        <v>10.810351662877181</v>
      </c>
      <c r="S55">
        <f t="shared" si="17"/>
        <v>76.263657716533743</v>
      </c>
      <c r="T55">
        <f t="shared" si="18"/>
        <v>138.98416578391885</v>
      </c>
    </row>
    <row r="56" spans="1:20">
      <c r="A56" s="1">
        <v>16</v>
      </c>
      <c r="B56" s="1" t="s">
        <v>16</v>
      </c>
      <c r="C56" s="1">
        <v>2</v>
      </c>
      <c r="D56" s="1">
        <v>16</v>
      </c>
      <c r="E56" s="1">
        <v>145.126338685485</v>
      </c>
      <c r="F56" s="1"/>
      <c r="G56" s="1"/>
      <c r="H56" s="1"/>
      <c r="I56" s="1">
        <v>89.9370907494242</v>
      </c>
      <c r="J56" s="1">
        <v>142.330749493859</v>
      </c>
      <c r="K56" s="1">
        <v>1.11746110578993</v>
      </c>
      <c r="L56" s="1">
        <v>345.33442920097701</v>
      </c>
      <c r="M56" s="1">
        <v>395.13235403432202</v>
      </c>
      <c r="N56" s="1">
        <v>1.1174478126308101</v>
      </c>
      <c r="O56" s="1">
        <v>419.48771650140702</v>
      </c>
      <c r="P56" s="1">
        <v>512.00508200730599</v>
      </c>
      <c r="Q56">
        <f t="shared" ref="Q56" si="19">C56*N56</f>
        <v>2.2348956252616201</v>
      </c>
      <c r="R56">
        <f t="shared" ref="R56" si="20">D56/N56</f>
        <v>14.318342046176779</v>
      </c>
      <c r="S56">
        <f t="shared" ref="S56" si="21">1/(1/I56+1/(O56*C56))</f>
        <v>81.229402904074846</v>
      </c>
      <c r="T56">
        <f t="shared" ref="T56" si="22">1/(1/J56+1/(P56*C56))</f>
        <v>124.96186359021235</v>
      </c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20">
      <c r="A59" s="1" t="s">
        <v>23</v>
      </c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20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7</v>
      </c>
      <c r="I60" s="1" t="s">
        <v>8</v>
      </c>
      <c r="J60" s="1" t="s">
        <v>9</v>
      </c>
      <c r="K60" s="1" t="s">
        <v>10</v>
      </c>
      <c r="L60" s="1" t="s">
        <v>11</v>
      </c>
      <c r="M60" s="1" t="s">
        <v>12</v>
      </c>
      <c r="N60" s="1" t="s">
        <v>13</v>
      </c>
      <c r="O60" s="1" t="s">
        <v>14</v>
      </c>
      <c r="P60" s="1" t="s">
        <v>15</v>
      </c>
      <c r="Q60" s="1" t="s">
        <v>24</v>
      </c>
      <c r="R60" s="1" t="s">
        <v>25</v>
      </c>
      <c r="S60" s="1" t="s">
        <v>26</v>
      </c>
      <c r="T60" s="1" t="s">
        <v>27</v>
      </c>
    </row>
    <row r="61" spans="1:20">
      <c r="A61" s="2">
        <v>0.01</v>
      </c>
      <c r="B61" s="1" t="s">
        <v>16</v>
      </c>
      <c r="C61" s="1">
        <v>34.515627914907299</v>
      </c>
      <c r="D61" s="1">
        <f t="shared" ref="D61:D67" si="23">32/C61</f>
        <v>0.92711626393965152</v>
      </c>
      <c r="E61" s="1">
        <v>46.529807038716498</v>
      </c>
      <c r="F61" s="1"/>
      <c r="G61" s="1">
        <v>149.38312121212101</v>
      </c>
      <c r="H61" s="1">
        <v>117.641939393939</v>
      </c>
      <c r="I61" s="1">
        <v>154.54383893907001</v>
      </c>
      <c r="J61" s="1">
        <v>118.787349273497</v>
      </c>
      <c r="K61" s="1">
        <v>2.1223175036652</v>
      </c>
      <c r="L61" s="1">
        <v>214.583647405075</v>
      </c>
      <c r="M61" s="1">
        <v>107.396739790355</v>
      </c>
      <c r="N61" s="1">
        <v>2.1237392362025802</v>
      </c>
      <c r="O61" s="1">
        <v>303.89203855864503</v>
      </c>
      <c r="P61" s="1">
        <v>212.307670286725</v>
      </c>
      <c r="Q61">
        <f t="shared" ref="Q61:Q67" si="24">C61*N61</f>
        <v>73.302193265057682</v>
      </c>
      <c r="R61">
        <f t="shared" ref="R61:R67" si="25">D61/N61</f>
        <v>0.436549011354808</v>
      </c>
      <c r="S61">
        <f t="shared" ref="S61:S67" si="26">1/(1/I61+1/(O61*C61))</f>
        <v>152.29987363270376</v>
      </c>
      <c r="T61">
        <f t="shared" ref="T61:T67" si="27">1/(1/J61+1/(P61*C61))</f>
        <v>116.89249697124768</v>
      </c>
    </row>
    <row r="62" spans="1:20">
      <c r="A62" s="2">
        <v>5.0000000000000001E-3</v>
      </c>
      <c r="B62" s="1" t="s">
        <v>16</v>
      </c>
      <c r="C62" s="1">
        <v>27.6657940371466</v>
      </c>
      <c r="D62" s="1">
        <f t="shared" si="23"/>
        <v>1.1566629881301762</v>
      </c>
      <c r="E62" s="1">
        <v>52.239856539897701</v>
      </c>
      <c r="F62" s="1"/>
      <c r="G62" s="1">
        <v>149.55036363636299</v>
      </c>
      <c r="H62" s="1">
        <v>117.308666666666</v>
      </c>
      <c r="I62" s="1">
        <v>154.45910664627701</v>
      </c>
      <c r="J62" s="1">
        <v>118.47972385332601</v>
      </c>
      <c r="K62" s="1">
        <v>1.8358975798634001</v>
      </c>
      <c r="L62" s="1">
        <v>219.524497996229</v>
      </c>
      <c r="M62" s="1">
        <v>121.48503916572299</v>
      </c>
      <c r="N62" s="1">
        <v>1.8367517080554201</v>
      </c>
      <c r="O62" s="1">
        <v>308.83072953632899</v>
      </c>
      <c r="P62" s="1">
        <v>212.78664595185501</v>
      </c>
      <c r="Q62">
        <f t="shared" si="24"/>
        <v>50.815194452438476</v>
      </c>
      <c r="R62">
        <f t="shared" si="25"/>
        <v>0.62973290459315379</v>
      </c>
      <c r="S62">
        <f t="shared" si="26"/>
        <v>151.71638113020632</v>
      </c>
      <c r="T62">
        <f t="shared" si="27"/>
        <v>116.1422500081451</v>
      </c>
    </row>
    <row r="63" spans="1:20">
      <c r="A63" s="2">
        <v>1E-3</v>
      </c>
      <c r="B63" s="1" t="s">
        <v>16</v>
      </c>
      <c r="C63" s="1">
        <v>18.580913662929301</v>
      </c>
      <c r="D63" s="1">
        <f t="shared" si="23"/>
        <v>1.7221973354218345</v>
      </c>
      <c r="E63" s="1">
        <v>65.803229824852195</v>
      </c>
      <c r="F63" s="1"/>
      <c r="G63" s="1">
        <v>148.726727272727</v>
      </c>
      <c r="H63" s="1">
        <v>116.43169696969601</v>
      </c>
      <c r="I63" s="1">
        <v>154.278956516649</v>
      </c>
      <c r="J63" s="1">
        <v>117.99744790759701</v>
      </c>
      <c r="K63" s="1">
        <v>1.4847104922942</v>
      </c>
      <c r="L63" s="1">
        <v>239.60018225097701</v>
      </c>
      <c r="M63" s="1">
        <v>144.22582716410099</v>
      </c>
      <c r="N63" s="1">
        <v>1.4858317809819599</v>
      </c>
      <c r="O63" s="1">
        <v>320.25426154980801</v>
      </c>
      <c r="P63" s="1">
        <v>220.25952256052699</v>
      </c>
      <c r="Q63">
        <f t="shared" si="24"/>
        <v>27.608112040062277</v>
      </c>
      <c r="R63">
        <f t="shared" si="25"/>
        <v>1.159079619554015</v>
      </c>
      <c r="S63">
        <f t="shared" si="26"/>
        <v>150.3801190204189</v>
      </c>
      <c r="T63">
        <f t="shared" si="27"/>
        <v>114.69071501258625</v>
      </c>
    </row>
    <row r="64" spans="1:20">
      <c r="A64" s="2">
        <v>5.0000000000000001E-4</v>
      </c>
      <c r="B64" s="1" t="s">
        <v>16</v>
      </c>
      <c r="C64" s="1">
        <v>16.031888539763699</v>
      </c>
      <c r="D64" s="1">
        <f t="shared" si="23"/>
        <v>1.9960218610945795</v>
      </c>
      <c r="E64" s="1">
        <v>71.693130344679702</v>
      </c>
      <c r="F64" s="1"/>
      <c r="G64" s="1">
        <v>148.629636363636</v>
      </c>
      <c r="H64" s="1">
        <v>116.708363636363</v>
      </c>
      <c r="I64" s="1">
        <v>154.19148375150499</v>
      </c>
      <c r="J64" s="1">
        <v>117.847672981668</v>
      </c>
      <c r="K64" s="1">
        <v>1.4095753767738901</v>
      </c>
      <c r="L64" s="1">
        <v>248.356971644308</v>
      </c>
      <c r="M64" s="1">
        <v>152.184435112616</v>
      </c>
      <c r="N64" s="1">
        <v>1.40989842981178</v>
      </c>
      <c r="O64" s="1">
        <v>324.518863957848</v>
      </c>
      <c r="P64" s="1">
        <v>222.60265784687601</v>
      </c>
      <c r="Q64">
        <f t="shared" si="24"/>
        <v>22.603334479130311</v>
      </c>
      <c r="R64">
        <f t="shared" si="25"/>
        <v>1.4157203234569502</v>
      </c>
      <c r="S64">
        <f t="shared" si="26"/>
        <v>149.75323173353672</v>
      </c>
      <c r="T64">
        <f t="shared" si="27"/>
        <v>114.08048459643287</v>
      </c>
    </row>
    <row r="65" spans="1:20">
      <c r="A65" s="2">
        <v>1E-4</v>
      </c>
      <c r="B65" s="1" t="s">
        <v>16</v>
      </c>
      <c r="C65" s="1">
        <v>11.567841571319301</v>
      </c>
      <c r="D65" s="1">
        <f t="shared" si="23"/>
        <v>2.7662896144203013</v>
      </c>
      <c r="E65" s="1">
        <v>85.470156836745801</v>
      </c>
      <c r="F65" s="1"/>
      <c r="G65" s="1">
        <v>149.33648484848399</v>
      </c>
      <c r="H65" s="1">
        <v>116.392393939393</v>
      </c>
      <c r="I65" s="1">
        <v>153.94819799765901</v>
      </c>
      <c r="J65" s="1">
        <v>117.509401712958</v>
      </c>
      <c r="K65" s="1">
        <v>1.3150006252588999</v>
      </c>
      <c r="L65" s="1">
        <v>263.26908205797099</v>
      </c>
      <c r="M65" s="1">
        <v>169.017915410353</v>
      </c>
      <c r="N65" s="1">
        <v>1.3148130238629301</v>
      </c>
      <c r="O65" s="1">
        <v>330.778596186882</v>
      </c>
      <c r="P65" s="1">
        <v>245.35268877857601</v>
      </c>
      <c r="Q65">
        <f t="shared" si="24"/>
        <v>15.209548755953639</v>
      </c>
      <c r="R65">
        <f t="shared" si="25"/>
        <v>2.1039414458284895</v>
      </c>
      <c r="S65">
        <f t="shared" si="26"/>
        <v>147.99392468881854</v>
      </c>
      <c r="T65">
        <f t="shared" si="27"/>
        <v>112.83761136120705</v>
      </c>
    </row>
    <row r="66" spans="1:20">
      <c r="A66" s="2">
        <v>5.0000000000000002E-5</v>
      </c>
      <c r="B66" s="1" t="s">
        <v>16</v>
      </c>
      <c r="C66" s="1">
        <v>10.069376416917001</v>
      </c>
      <c r="D66" s="1">
        <f t="shared" si="23"/>
        <v>3.1779525042125325</v>
      </c>
      <c r="E66" s="1">
        <v>91.350694987637894</v>
      </c>
      <c r="F66" s="1"/>
      <c r="G66" s="1">
        <v>149.15921212121199</v>
      </c>
      <c r="H66" s="1">
        <v>116.27603030303</v>
      </c>
      <c r="I66" s="1">
        <v>153.74318029424401</v>
      </c>
      <c r="J66" s="1">
        <v>117.38272626358599</v>
      </c>
      <c r="K66" s="1">
        <v>1.29301143939455</v>
      </c>
      <c r="L66" s="1">
        <v>266.747135765888</v>
      </c>
      <c r="M66" s="1">
        <v>179.18064867266301</v>
      </c>
      <c r="N66" s="1">
        <v>1.29394460117881</v>
      </c>
      <c r="O66" s="1">
        <v>334.88031521030302</v>
      </c>
      <c r="P66" s="1">
        <v>253.57137969712301</v>
      </c>
      <c r="Q66">
        <f t="shared" si="24"/>
        <v>13.029215251906983</v>
      </c>
      <c r="R66">
        <f t="shared" si="25"/>
        <v>2.4560189835927693</v>
      </c>
      <c r="S66">
        <f t="shared" si="26"/>
        <v>147.03913996053089</v>
      </c>
      <c r="T66">
        <f t="shared" si="27"/>
        <v>112.22349299601476</v>
      </c>
    </row>
    <row r="67" spans="1:20">
      <c r="A67" s="4">
        <v>1.0000000000000001E-5</v>
      </c>
      <c r="B67" s="1" t="s">
        <v>16</v>
      </c>
      <c r="C67" s="1">
        <v>7.3687328775352299</v>
      </c>
      <c r="D67" s="1">
        <f t="shared" si="23"/>
        <v>4.3426733648545133</v>
      </c>
      <c r="E67" s="3">
        <v>7.0728807766125303</v>
      </c>
      <c r="F67" s="1"/>
      <c r="G67" s="1">
        <v>148.921242424242</v>
      </c>
      <c r="H67" s="1">
        <v>115.93</v>
      </c>
      <c r="I67" s="1">
        <v>153.53567811286601</v>
      </c>
      <c r="J67" s="1">
        <v>117.07410180140501</v>
      </c>
      <c r="K67" s="1">
        <v>1.25567120201341</v>
      </c>
      <c r="L67" s="1">
        <v>276.79732844524602</v>
      </c>
      <c r="M67" s="1">
        <v>199.003135656616</v>
      </c>
      <c r="N67" s="1">
        <v>1.2568413463520001</v>
      </c>
      <c r="O67" s="1">
        <v>340.10444050948399</v>
      </c>
      <c r="P67" s="1">
        <v>272.06677039264599</v>
      </c>
      <c r="Q67">
        <f t="shared" si="24"/>
        <v>9.2613281507096268</v>
      </c>
      <c r="R67">
        <f t="shared" si="25"/>
        <v>3.4552279629081144</v>
      </c>
      <c r="S67">
        <f t="shared" si="26"/>
        <v>144.6724864363604</v>
      </c>
      <c r="T67">
        <f t="shared" si="27"/>
        <v>110.61451639209109</v>
      </c>
    </row>
    <row r="68" spans="1:20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20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20">
      <c r="A70" s="2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20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20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20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20">
      <c r="A74" s="2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20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20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20">
      <c r="A77" s="2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20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20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20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2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2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2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2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2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2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2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2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2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2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2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2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2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>
      <c r="A154" s="2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>
      <c r="A158" s="2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>
      <c r="A161" s="2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>
      <c r="A165" s="2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>
      <c r="A168" s="2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>
      <c r="A169" s="2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>
      <c r="A172" s="2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>
      <c r="A175" s="2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>
      <c r="A179" s="2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>
      <c r="A182" s="2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>
      <c r="A183" s="2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>
      <c r="A186" s="2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>
      <c r="A189" s="2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>
      <c r="A190" s="2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2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2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2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2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2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>
      <c r="A207" s="2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>
      <c r="A210" s="2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>
      <c r="A214" s="2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>
      <c r="A217" s="2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>
      <c r="A221" s="2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>
      <c r="A224" s="2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>
      <c r="A228" s="2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>
      <c r="A235" s="2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>
      <c r="A238" s="2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>
      <c r="A239" s="2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>
      <c r="A242" s="2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>
      <c r="A245" s="2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>
      <c r="A249" s="2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>
      <c r="A252" s="2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>
      <c r="A253" s="2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>
      <c r="A256" s="2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>
      <c r="A259" s="2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>
      <c r="A260" s="2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>
      <c r="A263" s="2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>
      <c r="A266" s="2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>
      <c r="A267" s="2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>
      <c r="A270" s="2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>
      <c r="A273" s="2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>
      <c r="A274" s="2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>
      <c r="A277" s="2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>
      <c r="A280" s="2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>
      <c r="A281" s="2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>
      <c r="A284" s="2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>
      <c r="A287" s="2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>
      <c r="A291" s="2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>
      <c r="A294" s="2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>
      <c r="A298" s="2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</row>
  </sheetData>
  <sortState xmlns:xlrd2="http://schemas.microsoft.com/office/spreadsheetml/2017/richdata2" ref="A61:T67">
    <sortCondition descending="1" ref="A61"/>
  </sortState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"/>
  <sheetViews>
    <sheetView topLeftCell="A50" zoomScaleNormal="100" workbookViewId="0">
      <selection activeCell="A13" sqref="A13:A19"/>
    </sheetView>
  </sheetViews>
  <sheetFormatPr defaultRowHeight="15"/>
  <cols>
    <col min="1" max="7" width="8.7109375" style="1"/>
    <col min="8" max="8" width="10.5703125" style="1" customWidth="1"/>
    <col min="9" max="9" width="8.7109375" style="1"/>
    <col min="10" max="10" width="14.5703125" style="1" customWidth="1"/>
    <col min="11" max="11" width="13.28515625" style="1" customWidth="1"/>
    <col min="12" max="12" width="12.5703125" style="1" customWidth="1"/>
    <col min="13" max="13" width="12.7109375" style="1" customWidth="1"/>
    <col min="14" max="14" width="12.85546875" style="1" customWidth="1"/>
    <col min="15" max="15" width="13.7109375" style="1" customWidth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0.01</v>
      </c>
      <c r="B3" s="1">
        <v>28.110741515556001</v>
      </c>
      <c r="C3" s="1">
        <v>1.1383548876606999</v>
      </c>
      <c r="D3" s="1">
        <v>45.353346380851598</v>
      </c>
      <c r="F3" s="1">
        <v>44.01</v>
      </c>
      <c r="G3" s="1">
        <v>44.01</v>
      </c>
      <c r="H3" s="1">
        <v>55.4885286974473</v>
      </c>
      <c r="I3" s="1">
        <v>44.216645926241497</v>
      </c>
      <c r="J3" s="1">
        <v>1.5227776012419501</v>
      </c>
      <c r="K3" s="1">
        <v>208.554579359613</v>
      </c>
      <c r="L3" s="1">
        <v>123.706426780859</v>
      </c>
      <c r="M3" s="1">
        <v>1.5240995614940001</v>
      </c>
      <c r="N3" s="1">
        <v>299.47066626577799</v>
      </c>
      <c r="O3" s="1">
        <v>164.435746880273</v>
      </c>
      <c r="P3">
        <f>B3*M3</f>
        <v>42.843568817130084</v>
      </c>
      <c r="Q3">
        <f>C3/M3</f>
        <v>0.74690323153483917</v>
      </c>
      <c r="R3">
        <f>1/(1/H3+1/(N3*B3))</f>
        <v>55.125177480047419</v>
      </c>
      <c r="S3">
        <f>1/(1/I3+1/(O3*B3))</f>
        <v>43.797689879400458</v>
      </c>
    </row>
    <row r="4" spans="1:19">
      <c r="A4" s="2">
        <v>5.0000000000000001E-3</v>
      </c>
      <c r="B4" s="1">
        <v>26.854435451200299</v>
      </c>
      <c r="C4" s="1">
        <v>1.1916094850755701</v>
      </c>
      <c r="D4" s="1">
        <v>52.131830118447702</v>
      </c>
      <c r="F4" s="1">
        <v>43.41</v>
      </c>
      <c r="G4" s="1">
        <v>43.41</v>
      </c>
      <c r="H4" s="1">
        <v>55.475315077022003</v>
      </c>
      <c r="I4" s="1">
        <v>43.616738585617398</v>
      </c>
      <c r="J4" s="1">
        <v>1.39224681590011</v>
      </c>
      <c r="K4" s="1">
        <v>209.779789896403</v>
      </c>
      <c r="L4" s="1">
        <v>130.37793188755799</v>
      </c>
      <c r="M4" s="1">
        <v>1.3929874902983601</v>
      </c>
      <c r="N4" s="1">
        <v>285.91870709925502</v>
      </c>
      <c r="O4" s="1">
        <v>173.144992882049</v>
      </c>
      <c r="P4">
        <f>B4*M4</f>
        <v>37.407892642546813</v>
      </c>
      <c r="Q4">
        <f>C4/M4</f>
        <v>0.85543444817321546</v>
      </c>
      <c r="R4">
        <f>1/(1/H4+1/(N4*B4))</f>
        <v>55.077377971843291</v>
      </c>
      <c r="S4">
        <f>1/(1/I4+1/(O4*B4))</f>
        <v>43.211392959528169</v>
      </c>
    </row>
    <row r="5" spans="1:19">
      <c r="A5" s="2">
        <v>1E-3</v>
      </c>
      <c r="B5" s="1">
        <v>23.403180663315698</v>
      </c>
      <c r="C5" s="1">
        <v>1.36733551137173</v>
      </c>
      <c r="D5" s="1">
        <v>66.169708655036999</v>
      </c>
      <c r="F5" s="1">
        <v>42.015555555555501</v>
      </c>
      <c r="G5" s="1">
        <v>42.015555555555501</v>
      </c>
      <c r="H5" s="1">
        <v>55.153173952849301</v>
      </c>
      <c r="I5" s="1">
        <v>42.212984418649903</v>
      </c>
      <c r="J5" s="1">
        <v>1.21818032499653</v>
      </c>
      <c r="K5" s="1">
        <v>214.43425871701001</v>
      </c>
      <c r="L5" s="1">
        <v>147.66767483384601</v>
      </c>
      <c r="M5" s="1">
        <v>1.2170527954210799</v>
      </c>
      <c r="N5" s="1">
        <v>267.03495040957301</v>
      </c>
      <c r="O5" s="1">
        <v>198.25283922508001</v>
      </c>
      <c r="P5">
        <f>B5*M5</f>
        <v>28.482906448032935</v>
      </c>
      <c r="Q5">
        <f>C5/M5</f>
        <v>1.1234808518710602</v>
      </c>
      <c r="R5">
        <f>1/(1/H5+1/(N5*B5))</f>
        <v>54.670690881306975</v>
      </c>
      <c r="S5">
        <f>1/(1/I5+1/(O5*B5))</f>
        <v>41.832388246457171</v>
      </c>
    </row>
    <row r="6" spans="1:19">
      <c r="A6" s="2">
        <v>5.0000000000000001E-4</v>
      </c>
      <c r="B6" s="1">
        <v>21.587223888810701</v>
      </c>
      <c r="C6" s="1">
        <v>1.4823582765816601</v>
      </c>
      <c r="D6" s="1">
        <v>71.896566497249793</v>
      </c>
      <c r="F6" s="1">
        <v>41.122222222222199</v>
      </c>
      <c r="G6" s="1">
        <v>41.122222222222199</v>
      </c>
      <c r="H6" s="1">
        <v>54.957653741657097</v>
      </c>
      <c r="I6" s="1">
        <v>41.341368681954798</v>
      </c>
      <c r="J6" s="1">
        <v>1.1728884480764901</v>
      </c>
      <c r="K6" s="1">
        <v>215.896760243872</v>
      </c>
      <c r="L6" s="1">
        <v>152.470180161173</v>
      </c>
      <c r="M6" s="1">
        <v>1.1739791426031101</v>
      </c>
      <c r="N6" s="1">
        <v>251.86696331763099</v>
      </c>
      <c r="O6" s="1">
        <v>201.34494790735801</v>
      </c>
      <c r="P6">
        <f>B6*M6</f>
        <v>25.342950592167362</v>
      </c>
      <c r="Q6">
        <f>C6/M6</f>
        <v>1.2626785458000291</v>
      </c>
      <c r="R6">
        <f>1/(1/H6+1/(N6*B6))</f>
        <v>54.407707035771423</v>
      </c>
      <c r="S6">
        <f>1/(1/I6+1/(O6*B6))</f>
        <v>40.951856617288726</v>
      </c>
    </row>
    <row r="7" spans="1:19">
      <c r="A7" s="2">
        <v>1E-4</v>
      </c>
      <c r="B7" s="1">
        <v>17.374367659048101</v>
      </c>
      <c r="C7" s="1">
        <v>1.8417936484344599</v>
      </c>
      <c r="D7" s="1">
        <v>85.100552650677798</v>
      </c>
      <c r="F7" s="1">
        <v>39.072222222222202</v>
      </c>
      <c r="G7" s="1">
        <v>39.072222222222202</v>
      </c>
      <c r="H7" s="1">
        <v>54.3859410333257</v>
      </c>
      <c r="I7" s="1">
        <v>39.292887048811899</v>
      </c>
      <c r="J7" s="1">
        <v>1.09289984462671</v>
      </c>
      <c r="K7" s="1">
        <v>218.613336082849</v>
      </c>
      <c r="L7" s="1">
        <v>149.895415340803</v>
      </c>
      <c r="M7" s="1">
        <v>1.09383709117856</v>
      </c>
      <c r="N7" s="1">
        <v>243.48016838578101</v>
      </c>
      <c r="O7" s="1">
        <v>209.90596681992901</v>
      </c>
      <c r="P7">
        <f>B7*M7</f>
        <v>19.004727781240021</v>
      </c>
      <c r="Q7">
        <f>C7/M7</f>
        <v>1.6837915474689293</v>
      </c>
      <c r="R7">
        <f>1/(1/H7+1/(N7*B7))</f>
        <v>53.695617172104242</v>
      </c>
      <c r="S7">
        <f>1/(1/I7+1/(O7*B7))</f>
        <v>38.87405491712029</v>
      </c>
    </row>
    <row r="8" spans="1:19">
      <c r="A8" s="2">
        <v>5.0000000000000002E-5</v>
      </c>
      <c r="B8" s="1">
        <v>15.5146441699641</v>
      </c>
      <c r="C8" s="1">
        <v>2.0625674459199601</v>
      </c>
      <c r="D8" s="1">
        <v>91.098161785221095</v>
      </c>
      <c r="F8" s="1">
        <v>37.956666666666599</v>
      </c>
      <c r="G8" s="1">
        <v>37.956666666666599</v>
      </c>
      <c r="H8" s="1">
        <v>54.079525308648797</v>
      </c>
      <c r="I8" s="1">
        <v>38.190568458426903</v>
      </c>
      <c r="J8" s="1">
        <v>1.07016769800259</v>
      </c>
      <c r="K8" s="1">
        <v>228.133148318895</v>
      </c>
      <c r="L8" s="1">
        <v>139.82088852342599</v>
      </c>
      <c r="M8" s="1">
        <v>1.0695306844852599</v>
      </c>
      <c r="N8" s="1">
        <v>239.48272961269399</v>
      </c>
      <c r="O8" s="1">
        <v>212.575055953408</v>
      </c>
      <c r="P8">
        <f>B8*M8</f>
        <v>16.59338799864695</v>
      </c>
      <c r="Q8">
        <f>C8/M8</f>
        <v>1.9284789822674657</v>
      </c>
      <c r="R8">
        <f>1/(1/H8+1/(N8*B8))</f>
        <v>53.303681925453468</v>
      </c>
      <c r="S8">
        <f>1/(1/I8+1/(O8*B8))</f>
        <v>37.753390794707471</v>
      </c>
    </row>
    <row r="9" spans="1:19">
      <c r="A9" s="2">
        <v>1.0000000000000001E-5</v>
      </c>
      <c r="B9" s="1">
        <v>11.081728152884001</v>
      </c>
      <c r="C9" s="1">
        <v>2.88763625659523</v>
      </c>
      <c r="D9" s="1">
        <v>105.087183562188</v>
      </c>
      <c r="F9" s="1">
        <v>36.692222222222199</v>
      </c>
      <c r="G9" s="1">
        <v>36.692222222222199</v>
      </c>
      <c r="H9" s="1">
        <v>52.7408771400086</v>
      </c>
      <c r="I9" s="1">
        <v>36.981534942648501</v>
      </c>
      <c r="J9" s="1">
        <v>1.0380337911559001</v>
      </c>
      <c r="K9" s="1">
        <v>226.10331920215901</v>
      </c>
      <c r="L9" s="1">
        <v>164.773743577452</v>
      </c>
      <c r="M9" s="1">
        <v>1.0383580766456399</v>
      </c>
      <c r="N9" s="1">
        <v>228.07806993974401</v>
      </c>
      <c r="O9" s="1">
        <v>227.616144343466</v>
      </c>
      <c r="P9">
        <f>B9*M9</f>
        <v>11.506801930738471</v>
      </c>
      <c r="Q9">
        <f>C9/M9</f>
        <v>2.7809638327498583</v>
      </c>
      <c r="R9">
        <f>1/(1/H9+1/(N9*B9))</f>
        <v>51.662837859913367</v>
      </c>
      <c r="S9">
        <f>1/(1/I9+1/(O9*B9))</f>
        <v>36.447169718133893</v>
      </c>
    </row>
    <row r="10" spans="1:19">
      <c r="A10" s="2"/>
    </row>
    <row r="11" spans="1:19">
      <c r="A11" s="2" t="s">
        <v>18</v>
      </c>
    </row>
    <row r="12" spans="1:19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0.01</v>
      </c>
      <c r="B13" s="1">
        <v>29.614486629999998</v>
      </c>
      <c r="C13" s="1">
        <v>1.080552245</v>
      </c>
      <c r="D13" s="1">
        <v>61.857573170000002</v>
      </c>
      <c r="F13" s="1">
        <v>51.695555560000003</v>
      </c>
      <c r="G13" s="1">
        <v>51.695555560000003</v>
      </c>
      <c r="H13" s="1">
        <v>41.805308959999998</v>
      </c>
      <c r="I13" s="1">
        <v>46.95829457</v>
      </c>
      <c r="J13" s="1">
        <v>8.4741051580000004</v>
      </c>
      <c r="K13" s="1">
        <v>238.31167139999999</v>
      </c>
      <c r="L13" s="1">
        <v>128.50883010000001</v>
      </c>
      <c r="M13" s="1">
        <v>8.5093345429999996</v>
      </c>
      <c r="N13" s="1">
        <v>364.96940310000002</v>
      </c>
      <c r="O13" s="1">
        <v>217.03837830000001</v>
      </c>
      <c r="P13">
        <f>B13*M13</f>
        <v>251.99957405387065</v>
      </c>
      <c r="Q13">
        <f>C13/M13</f>
        <v>0.12698434167086431</v>
      </c>
      <c r="R13">
        <f>1/(1/H13+1/(N13*B13))</f>
        <v>41.644234880203093</v>
      </c>
      <c r="S13">
        <f>1/(1/I13+1/(O13*B13))</f>
        <v>46.617711916076132</v>
      </c>
    </row>
    <row r="14" spans="1:19">
      <c r="A14" s="2">
        <v>5.0000000000000001E-3</v>
      </c>
      <c r="B14" s="1">
        <v>29.51424682</v>
      </c>
      <c r="C14" s="1">
        <v>1.084222145</v>
      </c>
      <c r="D14" s="1">
        <v>65.609697449999999</v>
      </c>
      <c r="F14" s="1">
        <v>51.295555559999997</v>
      </c>
      <c r="G14" s="1">
        <v>51.295555559999997</v>
      </c>
      <c r="H14" s="1">
        <v>41.808593930000001</v>
      </c>
      <c r="I14" s="1">
        <v>46.626238360000002</v>
      </c>
      <c r="J14" s="1">
        <v>7.6351037289999999</v>
      </c>
      <c r="K14" s="1">
        <v>240.9574623</v>
      </c>
      <c r="L14" s="1">
        <v>129.46516120000001</v>
      </c>
      <c r="M14" s="1">
        <v>7.6643992829999998</v>
      </c>
      <c r="N14" s="1">
        <v>365.66860329999997</v>
      </c>
      <c r="O14" s="1">
        <v>217.3680731</v>
      </c>
      <c r="P14">
        <f>B14*M14</f>
        <v>226.20897216549304</v>
      </c>
      <c r="Q14">
        <f>C14/M14</f>
        <v>0.14146211659468944</v>
      </c>
      <c r="R14">
        <f>1/(1/H14+1/(N14*B14))</f>
        <v>41.647257444676207</v>
      </c>
      <c r="S14">
        <f>1/(1/I14+1/(O14*B14))</f>
        <v>46.289813292474165</v>
      </c>
    </row>
    <row r="15" spans="1:19">
      <c r="A15" s="2">
        <v>1E-3</v>
      </c>
      <c r="B15" s="1">
        <v>28.921079509999998</v>
      </c>
      <c r="C15" s="1">
        <v>1.1064593899999999</v>
      </c>
      <c r="D15" s="1">
        <v>76.007988299999994</v>
      </c>
      <c r="F15" s="1">
        <v>48.34111111</v>
      </c>
      <c r="G15" s="1">
        <v>48.34111111</v>
      </c>
      <c r="H15" s="1">
        <v>41.756857549999999</v>
      </c>
      <c r="I15" s="1">
        <v>44.16853991</v>
      </c>
      <c r="J15" s="1">
        <v>4.8439205769999996</v>
      </c>
      <c r="K15" s="1">
        <v>226.2477767</v>
      </c>
      <c r="L15" s="1">
        <v>130.1655049</v>
      </c>
      <c r="M15" s="1">
        <v>4.8541655940000004</v>
      </c>
      <c r="N15" s="1">
        <v>358.5876811</v>
      </c>
      <c r="O15" s="1">
        <v>214.43862440000001</v>
      </c>
      <c r="P15">
        <f>B15*M15</f>
        <v>140.38770909878039</v>
      </c>
      <c r="Q15">
        <f>C15/M15</f>
        <v>0.22794018221538237</v>
      </c>
      <c r="R15">
        <f>1/(1/H15+1/(N15*B15))</f>
        <v>41.589401588059935</v>
      </c>
      <c r="S15">
        <f>1/(1/I15+1/(O15*B15))</f>
        <v>43.856200679256311</v>
      </c>
    </row>
    <row r="16" spans="1:19">
      <c r="A16" s="2">
        <v>5.0000000000000001E-4</v>
      </c>
      <c r="B16" s="1">
        <v>28.458984040000001</v>
      </c>
      <c r="C16" s="1">
        <v>1.124425241</v>
      </c>
      <c r="D16" s="1">
        <v>80.103432530000006</v>
      </c>
      <c r="F16" s="1">
        <v>45.826666670000002</v>
      </c>
      <c r="G16" s="1">
        <v>45.826666670000002</v>
      </c>
      <c r="H16" s="1">
        <v>41.724297780000001</v>
      </c>
      <c r="I16" s="1">
        <v>42.065698400000002</v>
      </c>
      <c r="J16" s="1">
        <v>3.96418326</v>
      </c>
      <c r="K16" s="1">
        <v>223.84073649999999</v>
      </c>
      <c r="L16" s="1">
        <v>131.35301190000001</v>
      </c>
      <c r="M16" s="1">
        <v>3.9703620929999999</v>
      </c>
      <c r="N16" s="1">
        <v>356.79287849999997</v>
      </c>
      <c r="O16" s="1">
        <v>209.58186810000001</v>
      </c>
      <c r="P16">
        <f>B16*M16</f>
        <v>112.99247143770799</v>
      </c>
      <c r="Q16">
        <f>C16/M16</f>
        <v>0.28320470895650374</v>
      </c>
      <c r="R16">
        <f>1/(1/H16+1/(N16*B16))</f>
        <v>41.553547441882216</v>
      </c>
      <c r="S16">
        <f>1/(1/I16+1/(O16*B16))</f>
        <v>41.771099641087226</v>
      </c>
    </row>
    <row r="17" spans="1:19">
      <c r="A17" s="2">
        <v>1E-4</v>
      </c>
      <c r="B17" s="1">
        <v>26.092121800000001</v>
      </c>
      <c r="C17" s="1">
        <v>1.226423832</v>
      </c>
      <c r="D17" s="1">
        <v>91.340519689999994</v>
      </c>
      <c r="F17" s="1">
        <v>40.373333330000001</v>
      </c>
      <c r="G17" s="1">
        <v>40.373333330000001</v>
      </c>
      <c r="H17" s="1">
        <v>41.604483969999997</v>
      </c>
      <c r="I17" s="1">
        <v>37.424676920000003</v>
      </c>
      <c r="J17" s="1">
        <v>2.263124516</v>
      </c>
      <c r="K17" s="1">
        <v>231.08518040000001</v>
      </c>
      <c r="L17" s="1">
        <v>134.76770590000001</v>
      </c>
      <c r="M17" s="1">
        <v>2.264136202</v>
      </c>
      <c r="N17" s="1">
        <v>334.45632699999999</v>
      </c>
      <c r="O17" s="1">
        <v>193.82835370000001</v>
      </c>
      <c r="P17">
        <f>B17*M17</f>
        <v>59.076117554373404</v>
      </c>
      <c r="Q17">
        <f>C17/M17</f>
        <v>0.54167405252239331</v>
      </c>
      <c r="R17">
        <f>1/(1/H17+1/(N17*B17))</f>
        <v>41.407075453771256</v>
      </c>
      <c r="S17">
        <f>1/(1/I17+1/(O17*B17))</f>
        <v>37.149768860909262</v>
      </c>
    </row>
    <row r="18" spans="1:19">
      <c r="A18" s="2">
        <v>5.0000000000000002E-5</v>
      </c>
      <c r="B18" s="1">
        <v>24.42295605</v>
      </c>
      <c r="C18" s="1">
        <v>1.3102427050000001</v>
      </c>
      <c r="D18" s="1">
        <v>95.840483079999998</v>
      </c>
      <c r="F18" s="1">
        <v>38.424444440000002</v>
      </c>
      <c r="G18" s="1">
        <v>38.424444440000002</v>
      </c>
      <c r="H18" s="1">
        <v>41.548227500000003</v>
      </c>
      <c r="I18" s="1">
        <v>35.74967565</v>
      </c>
      <c r="J18" s="1">
        <v>1.827263074</v>
      </c>
      <c r="K18" s="1">
        <v>235.01535849999999</v>
      </c>
      <c r="L18" s="1">
        <v>143.94585620000001</v>
      </c>
      <c r="M18" s="1">
        <v>1.8316395480000001</v>
      </c>
      <c r="N18" s="1">
        <v>324.32619540000002</v>
      </c>
      <c r="O18" s="1">
        <v>187.47942029999999</v>
      </c>
      <c r="P18">
        <f>B18*M18</f>
        <v>44.734052180245868</v>
      </c>
      <c r="Q18">
        <f>C18/M18</f>
        <v>0.71533872831621126</v>
      </c>
      <c r="R18">
        <f>1/(1/H18+1/(N18*B18))</f>
        <v>41.331430790997977</v>
      </c>
      <c r="S18">
        <f>1/(1/I18+1/(O18*B18))</f>
        <v>35.472717128785142</v>
      </c>
    </row>
    <row r="19" spans="1:19">
      <c r="A19" s="2">
        <v>1.0000000000000001E-5</v>
      </c>
      <c r="B19" s="1">
        <v>18.68640929</v>
      </c>
      <c r="C19" s="1">
        <v>1.7124745320000001</v>
      </c>
      <c r="D19" s="1">
        <v>108.1765846</v>
      </c>
      <c r="F19" s="1">
        <v>36.694444439999998</v>
      </c>
      <c r="G19" s="1">
        <v>36.694444439999998</v>
      </c>
      <c r="H19" s="1">
        <v>41.339285269999998</v>
      </c>
      <c r="I19" s="1">
        <v>34.265123889999998</v>
      </c>
      <c r="J19" s="1">
        <v>1.3167312790000001</v>
      </c>
      <c r="K19" s="1">
        <v>245.45375079999999</v>
      </c>
      <c r="L19" s="1">
        <v>141.13875250000001</v>
      </c>
      <c r="M19" s="1">
        <v>1.3173532020000001</v>
      </c>
      <c r="N19" s="1">
        <v>290.03334810000001</v>
      </c>
      <c r="O19" s="1">
        <v>190.16912249999999</v>
      </c>
      <c r="P19">
        <f>B19*M19</f>
        <v>24.61660111206405</v>
      </c>
      <c r="Q19">
        <f>C19/M19</f>
        <v>1.2999357570924248</v>
      </c>
      <c r="R19">
        <f>1/(1/H19+1/(N19*B19))</f>
        <v>41.026351761010424</v>
      </c>
      <c r="S19">
        <f>1/(1/I19+1/(O19*B19))</f>
        <v>33.937880291022637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0.01</v>
      </c>
      <c r="B24" s="1">
        <v>16.750600512385901</v>
      </c>
      <c r="C24" s="1">
        <f t="shared" ref="C24:C30" si="0">32/B24</f>
        <v>1.9103792712588561</v>
      </c>
      <c r="D24" s="1">
        <v>49.8986658626755</v>
      </c>
      <c r="F24" s="1">
        <v>45.293771857142801</v>
      </c>
      <c r="G24" s="1">
        <v>65.926940999999999</v>
      </c>
      <c r="H24" s="1">
        <v>63.751892714057</v>
      </c>
      <c r="I24" s="1">
        <v>98.278074295035097</v>
      </c>
      <c r="J24" s="1">
        <v>1.1128930831674699</v>
      </c>
      <c r="K24" s="1">
        <v>20.824325150735099</v>
      </c>
      <c r="L24" s="1">
        <v>23.1100140820074</v>
      </c>
      <c r="M24" s="1">
        <v>1.11462979482604</v>
      </c>
      <c r="N24" s="1">
        <v>26.413173896390798</v>
      </c>
      <c r="O24" s="1">
        <v>29.2228349771258</v>
      </c>
      <c r="P24">
        <f>B24*M24</f>
        <v>18.670718412333656</v>
      </c>
      <c r="Q24">
        <f>C24/M24</f>
        <v>1.7139136959433321</v>
      </c>
      <c r="R24">
        <f>1/(1/H24+1/(N24*B24))</f>
        <v>55.722661525043755</v>
      </c>
      <c r="S24">
        <f>1/(1/I24+1/(O24*B24))</f>
        <v>81.845717012686407</v>
      </c>
    </row>
    <row r="25" spans="1:19">
      <c r="A25" s="2">
        <v>5.0000000000000001E-3</v>
      </c>
      <c r="B25" s="1">
        <v>14.032894748010399</v>
      </c>
      <c r="C25" s="1">
        <f t="shared" si="0"/>
        <v>2.2803563038579049</v>
      </c>
      <c r="D25" s="1">
        <v>55.142775693394299</v>
      </c>
      <c r="F25" s="1">
        <v>43.960467571428502</v>
      </c>
      <c r="G25" s="1">
        <v>59.200174285714198</v>
      </c>
      <c r="H25" s="1">
        <v>61.644923653100797</v>
      </c>
      <c r="I25" s="1">
        <v>86.705768115601401</v>
      </c>
      <c r="J25" s="1">
        <v>1.1128930831674699</v>
      </c>
      <c r="K25" s="1">
        <v>24.839774122233798</v>
      </c>
      <c r="L25" s="1">
        <v>28.192002633719099</v>
      </c>
      <c r="M25" s="1">
        <v>1.11462979482604</v>
      </c>
      <c r="N25" s="1">
        <v>31.472172474756</v>
      </c>
      <c r="O25" s="1">
        <v>35.310463383751802</v>
      </c>
      <c r="P25">
        <f t="shared" ref="P25:P30" si="1">B25*M25</f>
        <v>15.641482593790245</v>
      </c>
      <c r="Q25">
        <f t="shared" ref="Q25:Q30" si="2">C25/M25</f>
        <v>2.0458418700478034</v>
      </c>
      <c r="R25">
        <f t="shared" ref="R25:R30" si="3">1/(1/H25+1/(N25*B25))</f>
        <v>54.094421903814442</v>
      </c>
      <c r="S25">
        <f t="shared" ref="S25:S30" si="4">1/(1/I25+1/(O25*B25))</f>
        <v>73.793174103813541</v>
      </c>
    </row>
    <row r="26" spans="1:19">
      <c r="A26" s="2">
        <v>1E-3</v>
      </c>
      <c r="B26" s="1">
        <v>9.5576760850506393</v>
      </c>
      <c r="C26" s="1">
        <f t="shared" si="0"/>
        <v>3.348094214037225</v>
      </c>
      <c r="D26" s="1">
        <v>67.691765009836104</v>
      </c>
      <c r="F26" s="1">
        <v>40.304143714285701</v>
      </c>
      <c r="G26" s="1">
        <v>46.010000999999903</v>
      </c>
      <c r="H26" s="1">
        <v>57.125693509746199</v>
      </c>
      <c r="I26" s="1">
        <v>67.1468313721942</v>
      </c>
      <c r="J26" s="1">
        <v>1.1128930831674699</v>
      </c>
      <c r="K26" s="1">
        <v>36.384062400542099</v>
      </c>
      <c r="L26" s="1">
        <v>42.605560452937098</v>
      </c>
      <c r="M26" s="1">
        <v>1.11462979482604</v>
      </c>
      <c r="N26" s="1">
        <v>46.217498974333097</v>
      </c>
      <c r="O26" s="1">
        <v>53.6944246991279</v>
      </c>
      <c r="P26">
        <f t="shared" si="1"/>
        <v>10.653270533693743</v>
      </c>
      <c r="Q26">
        <f t="shared" si="2"/>
        <v>3.003772400108649</v>
      </c>
      <c r="R26">
        <f t="shared" si="3"/>
        <v>50.584057175471258</v>
      </c>
      <c r="S26">
        <f t="shared" si="4"/>
        <v>59.377780238666546</v>
      </c>
    </row>
    <row r="27" spans="1:19">
      <c r="A27" s="2">
        <v>5.0000000000000001E-4</v>
      </c>
      <c r="B27" s="1">
        <v>8.1810693572471092</v>
      </c>
      <c r="C27" s="1">
        <f t="shared" si="0"/>
        <v>3.9114691005098443</v>
      </c>
      <c r="D27" s="1">
        <v>73.388278251673995</v>
      </c>
      <c r="F27" s="1">
        <v>40.721207857142801</v>
      </c>
      <c r="G27" s="1">
        <v>47.283034142857097</v>
      </c>
      <c r="H27" s="1">
        <v>55.053735493692102</v>
      </c>
      <c r="I27" s="1">
        <v>61.130828023917303</v>
      </c>
      <c r="J27" s="1">
        <v>1.1128930831674699</v>
      </c>
      <c r="K27" s="1">
        <v>42.444799375615098</v>
      </c>
      <c r="L27" s="1">
        <v>47.7495856371957</v>
      </c>
      <c r="M27" s="1">
        <v>1.11462979482604</v>
      </c>
      <c r="N27" s="1">
        <v>53.9337406916761</v>
      </c>
      <c r="O27" s="1">
        <v>63.420079317232997</v>
      </c>
      <c r="P27">
        <f t="shared" si="1"/>
        <v>9.1188636591259478</v>
      </c>
      <c r="Q27">
        <f t="shared" si="2"/>
        <v>3.509209173006457</v>
      </c>
      <c r="R27">
        <f t="shared" si="3"/>
        <v>48.946585636896195</v>
      </c>
      <c r="S27">
        <f t="shared" si="4"/>
        <v>54.687483383492022</v>
      </c>
    </row>
    <row r="28" spans="1:19">
      <c r="A28" s="2">
        <v>1E-4</v>
      </c>
      <c r="B28" s="1">
        <v>5.9788315252211</v>
      </c>
      <c r="C28" s="1">
        <f t="shared" si="0"/>
        <v>5.3522163762285686</v>
      </c>
      <c r="D28" s="1">
        <v>86.877605680829902</v>
      </c>
      <c r="F28" s="1">
        <v>38.708368999999998</v>
      </c>
      <c r="G28" s="1">
        <v>41.048508571428499</v>
      </c>
      <c r="H28" s="1">
        <v>51.322756678654699</v>
      </c>
      <c r="I28" s="1">
        <v>50.889602990528303</v>
      </c>
      <c r="J28" s="1">
        <v>1.1128930831674699</v>
      </c>
      <c r="K28" s="1">
        <v>58.062208686381403</v>
      </c>
      <c r="L28" s="1">
        <v>69.6747887388631</v>
      </c>
      <c r="M28" s="1">
        <v>1.11462979482604</v>
      </c>
      <c r="N28" s="1">
        <v>73.596550423776307</v>
      </c>
      <c r="O28" s="1">
        <v>88.674754181352</v>
      </c>
      <c r="P28">
        <f t="shared" si="1"/>
        <v>6.6641837562566542</v>
      </c>
      <c r="Q28">
        <f t="shared" si="2"/>
        <v>4.8017883615464338</v>
      </c>
      <c r="R28">
        <f t="shared" si="3"/>
        <v>45.96190024653442</v>
      </c>
      <c r="S28">
        <f t="shared" si="4"/>
        <v>46.432667128670658</v>
      </c>
    </row>
    <row r="29" spans="1:19">
      <c r="A29" s="2">
        <v>5.0000000000000002E-5</v>
      </c>
      <c r="B29" s="1">
        <v>5.33491553245939</v>
      </c>
      <c r="C29" s="1">
        <f t="shared" si="0"/>
        <v>5.9982205538778297</v>
      </c>
      <c r="D29" s="1">
        <v>92.230073227674794</v>
      </c>
      <c r="F29" s="1">
        <v>37.394294000000002</v>
      </c>
      <c r="G29" s="1">
        <v>38.966518999999998</v>
      </c>
      <c r="H29" s="1">
        <v>49.290281559557599</v>
      </c>
      <c r="I29" s="1">
        <v>47.564464932860801</v>
      </c>
      <c r="J29" s="1">
        <v>1.1128930831674699</v>
      </c>
      <c r="K29" s="1">
        <v>64.948708943339795</v>
      </c>
      <c r="L29" s="1">
        <v>78.5851497113417</v>
      </c>
      <c r="M29" s="1">
        <v>1.11462979482604</v>
      </c>
      <c r="N29" s="1">
        <v>82.404706379541295</v>
      </c>
      <c r="O29" s="1">
        <v>99.962063725542507</v>
      </c>
      <c r="P29">
        <f t="shared" si="1"/>
        <v>5.9464558053594638</v>
      </c>
      <c r="Q29">
        <f t="shared" si="2"/>
        <v>5.3813567354118419</v>
      </c>
      <c r="R29">
        <f t="shared" si="3"/>
        <v>44.321023857621789</v>
      </c>
      <c r="S29">
        <f t="shared" si="4"/>
        <v>43.669545107609245</v>
      </c>
    </row>
    <row r="30" spans="1:19">
      <c r="A30" s="2">
        <v>1.0000000000000001E-5</v>
      </c>
      <c r="B30" s="1">
        <v>4.2130008993321901</v>
      </c>
      <c r="C30" s="1">
        <f t="shared" si="0"/>
        <v>7.5955360002587167</v>
      </c>
      <c r="D30" s="1">
        <v>106.417528300494</v>
      </c>
      <c r="F30" s="1">
        <v>35.370939714285697</v>
      </c>
      <c r="G30" s="1">
        <v>33.5190258571428</v>
      </c>
      <c r="H30" s="1">
        <v>45.818986959160803</v>
      </c>
      <c r="I30" s="1">
        <v>41.141282259915201</v>
      </c>
      <c r="J30" s="1">
        <v>1.1128930831674699</v>
      </c>
      <c r="K30" s="1">
        <v>82.215862323811805</v>
      </c>
      <c r="L30" s="1">
        <v>101.029422777109</v>
      </c>
      <c r="M30" s="1">
        <v>1.11462979482604</v>
      </c>
      <c r="N30" s="1">
        <v>104.204020940985</v>
      </c>
      <c r="O30" s="1">
        <v>127.846735334671</v>
      </c>
      <c r="P30">
        <f t="shared" si="1"/>
        <v>4.695936328024561</v>
      </c>
      <c r="Q30">
        <f t="shared" si="2"/>
        <v>6.8144024460104715</v>
      </c>
      <c r="R30">
        <f t="shared" si="3"/>
        <v>41.48885706332792</v>
      </c>
      <c r="S30">
        <f t="shared" si="4"/>
        <v>38.22178798351414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0.01</v>
      </c>
      <c r="B35" s="1">
        <v>7.9164029292800997</v>
      </c>
      <c r="C35" s="1">
        <f t="shared" ref="C35:C41" si="5">32/B35</f>
        <v>4.0422399271319067</v>
      </c>
      <c r="D35" s="1">
        <v>67.980909106135201</v>
      </c>
      <c r="H35" s="1">
        <v>245.00273835351999</v>
      </c>
      <c r="I35" s="1">
        <v>439.392858535816</v>
      </c>
      <c r="J35" s="1">
        <v>1.02906603371522</v>
      </c>
      <c r="K35" s="1">
        <v>180.02578034684299</v>
      </c>
      <c r="L35" s="1">
        <v>81.129216591648699</v>
      </c>
      <c r="M35" s="1">
        <v>1.02672611464968</v>
      </c>
      <c r="N35" s="1">
        <v>273.21082920554602</v>
      </c>
      <c r="O35" s="1">
        <v>227.331583991543</v>
      </c>
      <c r="P35">
        <f>B35*M35</f>
        <v>8.1279776215811026</v>
      </c>
      <c r="Q35">
        <f>C35/M35</f>
        <v>3.9370187136139254</v>
      </c>
      <c r="R35">
        <f>1/(1/H35+1/(N35*B35))</f>
        <v>220.07330001301432</v>
      </c>
      <c r="S35">
        <f>1/(1/I35+1/(O35*B35))</f>
        <v>353.1657370419872</v>
      </c>
    </row>
    <row r="36" spans="1:19">
      <c r="A36" s="2">
        <v>5.0000000000000001E-3</v>
      </c>
      <c r="B36" s="1">
        <v>6.8345574790299404</v>
      </c>
      <c r="C36" s="1">
        <f t="shared" si="5"/>
        <v>4.6820880646894354</v>
      </c>
      <c r="D36" s="1">
        <v>73.792961443606302</v>
      </c>
      <c r="H36" s="1">
        <v>237.11259943814801</v>
      </c>
      <c r="I36" s="1">
        <v>410.76223400448998</v>
      </c>
      <c r="J36" s="1">
        <v>1.0275344583658701</v>
      </c>
      <c r="K36" s="1">
        <v>191.26550344475299</v>
      </c>
      <c r="L36" s="1">
        <v>94.139531671198696</v>
      </c>
      <c r="M36" s="1">
        <v>1.0284836934571799</v>
      </c>
      <c r="N36" s="1">
        <v>286.06147231699799</v>
      </c>
      <c r="O36" s="1">
        <v>262.10020333838099</v>
      </c>
      <c r="P36">
        <f t="shared" ref="P36:P41" si="6">B36*M36</f>
        <v>7.0292309191781053</v>
      </c>
      <c r="Q36">
        <f t="shared" ref="Q36:Q41" si="7">C36/M36</f>
        <v>4.5524183752013663</v>
      </c>
      <c r="R36">
        <f t="shared" ref="R36:R41" si="8">1/(1/H36+1/(N36*B36))</f>
        <v>211.46623049622198</v>
      </c>
      <c r="S36">
        <f t="shared" ref="S36:S41" si="9">1/(1/I36+1/(O36*B36))</f>
        <v>334.14195081348021</v>
      </c>
    </row>
    <row r="37" spans="1:19">
      <c r="A37" s="2">
        <v>1E-3</v>
      </c>
      <c r="B37" s="1">
        <v>5.0842634295721796</v>
      </c>
      <c r="C37" s="1">
        <f t="shared" si="5"/>
        <v>6.2939303683351184</v>
      </c>
      <c r="D37" s="1">
        <v>86.748830363252296</v>
      </c>
      <c r="H37" s="1">
        <v>221.21206748122901</v>
      </c>
      <c r="I37" s="1">
        <v>346.41491149171401</v>
      </c>
      <c r="J37" s="1">
        <v>1.02312851813567</v>
      </c>
      <c r="K37" s="1">
        <v>211.481860388169</v>
      </c>
      <c r="L37" s="1">
        <v>114.678600262709</v>
      </c>
      <c r="M37" s="1">
        <v>1.0231681877444501</v>
      </c>
      <c r="N37" s="1">
        <v>311.169262872373</v>
      </c>
      <c r="O37" s="1">
        <v>307.31855091315401</v>
      </c>
      <c r="P37">
        <f t="shared" si="6"/>
        <v>5.2020565992507493</v>
      </c>
      <c r="Q37">
        <f t="shared" si="7"/>
        <v>6.1514132707838955</v>
      </c>
      <c r="R37">
        <f t="shared" si="8"/>
        <v>194.0755065619731</v>
      </c>
      <c r="S37">
        <f t="shared" si="9"/>
        <v>283.54986966185254</v>
      </c>
    </row>
    <row r="38" spans="1:19">
      <c r="A38" s="2">
        <v>5.0000000000000001E-4</v>
      </c>
      <c r="B38" s="1">
        <v>4.5299160527559197</v>
      </c>
      <c r="C38" s="1">
        <f t="shared" si="5"/>
        <v>7.0641485686101788</v>
      </c>
      <c r="D38" s="1">
        <v>92.932330884078297</v>
      </c>
      <c r="H38" s="1">
        <v>217.26824964890801</v>
      </c>
      <c r="I38" s="1">
        <v>322.97090086754798</v>
      </c>
      <c r="J38" s="1">
        <v>1.02296207618107</v>
      </c>
      <c r="K38" s="1">
        <v>211.28428281913099</v>
      </c>
      <c r="L38" s="1">
        <v>118.91181962181101</v>
      </c>
      <c r="M38" s="1">
        <v>1.02630802670392</v>
      </c>
      <c r="N38" s="1">
        <v>317.75643276962199</v>
      </c>
      <c r="O38" s="1">
        <v>333.12673905370599</v>
      </c>
      <c r="P38">
        <f t="shared" si="6"/>
        <v>4.6490892052383384</v>
      </c>
      <c r="Q38">
        <f t="shared" si="7"/>
        <v>6.8830686156643672</v>
      </c>
      <c r="R38">
        <f t="shared" si="8"/>
        <v>188.7741873325121</v>
      </c>
      <c r="S38">
        <f t="shared" si="9"/>
        <v>266.03323677579255</v>
      </c>
    </row>
    <row r="39" spans="1:19">
      <c r="A39" s="2">
        <v>1E-4</v>
      </c>
      <c r="B39" s="1">
        <v>3.5959391459351702</v>
      </c>
      <c r="C39" s="1">
        <f t="shared" si="5"/>
        <v>8.8989270122028135</v>
      </c>
      <c r="D39" s="1">
        <v>109.51915983108201</v>
      </c>
      <c r="H39" s="1">
        <v>211.85771864017099</v>
      </c>
      <c r="I39" s="1">
        <v>274.62514437674798</v>
      </c>
      <c r="J39" s="1">
        <v>1.0149754745834401</v>
      </c>
      <c r="K39" s="1">
        <v>252.51496264362601</v>
      </c>
      <c r="L39" s="1">
        <v>154.18417201024101</v>
      </c>
      <c r="M39" s="1">
        <v>1.01797141638225</v>
      </c>
      <c r="N39" s="1">
        <v>348.42353012255199</v>
      </c>
      <c r="O39" s="1">
        <v>384.365006171799</v>
      </c>
      <c r="P39">
        <f t="shared" si="6"/>
        <v>3.6605632656120033</v>
      </c>
      <c r="Q39">
        <f t="shared" si="7"/>
        <v>8.7418240522200001</v>
      </c>
      <c r="R39">
        <f t="shared" si="8"/>
        <v>181.21552318663578</v>
      </c>
      <c r="S39">
        <f t="shared" si="9"/>
        <v>229.10368313023719</v>
      </c>
    </row>
    <row r="40" spans="1:19">
      <c r="A40" s="2">
        <v>5.0000000000000002E-5</v>
      </c>
      <c r="B40" s="3">
        <v>3.3579957259507198</v>
      </c>
      <c r="C40" s="3">
        <f t="shared" si="5"/>
        <v>9.529493963527937</v>
      </c>
      <c r="D40" s="3" t="e">
        <f>-inf</f>
        <v>#NAME?</v>
      </c>
      <c r="H40" s="1">
        <v>210.30869185761799</v>
      </c>
      <c r="I40" s="1">
        <v>288.17284779376098</v>
      </c>
      <c r="J40" s="1">
        <v>1.01454114715479</v>
      </c>
      <c r="K40" s="1">
        <v>254.72553784291901</v>
      </c>
      <c r="L40" s="1">
        <v>152.41370574906099</v>
      </c>
      <c r="M40" s="1">
        <v>1.01504838881208</v>
      </c>
      <c r="N40" s="1">
        <v>349.39604279438402</v>
      </c>
      <c r="O40" s="1">
        <v>389.53595592101902</v>
      </c>
      <c r="P40">
        <f t="shared" si="6"/>
        <v>3.4085281512641292</v>
      </c>
      <c r="Q40">
        <f t="shared" si="7"/>
        <v>9.3882164324012045</v>
      </c>
      <c r="R40">
        <f t="shared" si="8"/>
        <v>178.34106127980328</v>
      </c>
      <c r="S40">
        <f t="shared" si="9"/>
        <v>236.14811567903928</v>
      </c>
    </row>
    <row r="41" spans="1:19">
      <c r="A41" s="2">
        <v>1.0000000000000001E-5</v>
      </c>
      <c r="B41" s="3">
        <v>2.9497798877007999</v>
      </c>
      <c r="C41" s="3">
        <f t="shared" si="5"/>
        <v>10.848267063391749</v>
      </c>
      <c r="D41" s="3"/>
      <c r="H41" s="1">
        <v>204.580836178846</v>
      </c>
      <c r="I41" s="1">
        <v>260.21651946672603</v>
      </c>
      <c r="J41" s="1">
        <v>1.0122236188285101</v>
      </c>
      <c r="K41" s="1">
        <v>253.00308037282699</v>
      </c>
      <c r="L41" s="1">
        <v>182.60121753373099</v>
      </c>
      <c r="M41" s="1">
        <v>1.01087726331262</v>
      </c>
      <c r="N41" s="1">
        <v>365.33882766342299</v>
      </c>
      <c r="O41" s="1">
        <v>432.83661845585198</v>
      </c>
      <c r="P41">
        <f t="shared" si="6"/>
        <v>2.9818654202535919</v>
      </c>
      <c r="Q41">
        <f t="shared" si="7"/>
        <v>10.731537306361252</v>
      </c>
      <c r="R41">
        <f t="shared" si="8"/>
        <v>171.94030604439013</v>
      </c>
      <c r="S41">
        <f t="shared" si="9"/>
        <v>216.16114558087838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1">
        <v>0.5</v>
      </c>
      <c r="B46" s="1">
        <v>64</v>
      </c>
      <c r="C46" s="1">
        <f t="shared" ref="C46:C53" si="10">32/B46</f>
        <v>0.5</v>
      </c>
      <c r="D46" s="1">
        <v>45.1463892857806</v>
      </c>
      <c r="H46" s="1">
        <v>480.17740001061702</v>
      </c>
      <c r="I46" s="1">
        <v>539.41937977294401</v>
      </c>
      <c r="J46" s="1">
        <v>1.2463691940775801</v>
      </c>
      <c r="K46" s="1">
        <v>47.765942593730202</v>
      </c>
      <c r="L46" s="1">
        <v>16.888491622094499</v>
      </c>
      <c r="M46" s="1">
        <v>1.24954272254948</v>
      </c>
      <c r="N46" s="1">
        <v>153.792985562345</v>
      </c>
      <c r="O46" s="1">
        <v>87.586090976139005</v>
      </c>
      <c r="P46">
        <f>B46*M46</f>
        <v>79.970734243166717</v>
      </c>
      <c r="Q46">
        <f>C46/M46</f>
        <v>0.40014638233403882</v>
      </c>
      <c r="R46">
        <f>1/(1/H46+1/(N46*B46))</f>
        <v>457.84165138879916</v>
      </c>
      <c r="S46">
        <f>1/(1/I46+1/(O46*B46))</f>
        <v>492.06761090825427</v>
      </c>
    </row>
    <row r="47" spans="1:19">
      <c r="A47" s="1">
        <v>1</v>
      </c>
      <c r="B47" s="1">
        <v>32</v>
      </c>
      <c r="C47" s="1">
        <f t="shared" si="10"/>
        <v>1</v>
      </c>
      <c r="D47" s="1">
        <v>57.821201597906899</v>
      </c>
      <c r="H47" s="1">
        <v>299.91037807183602</v>
      </c>
      <c r="I47" s="1">
        <v>338.51366861670499</v>
      </c>
      <c r="J47" s="1">
        <v>1.1823298960327699</v>
      </c>
      <c r="K47" s="1">
        <v>101.144778362887</v>
      </c>
      <c r="L47" s="1">
        <v>53.476626150907798</v>
      </c>
      <c r="M47" s="1">
        <v>1.18247923205081</v>
      </c>
      <c r="N47" s="1">
        <v>224.62982106122601</v>
      </c>
      <c r="O47" s="1">
        <v>168.44976865785799</v>
      </c>
      <c r="P47">
        <f t="shared" ref="P47:P52" si="11">B47*M47</f>
        <v>37.839335425625919</v>
      </c>
      <c r="Q47">
        <f t="shared" ref="Q47:Q52" si="12">C47/M47</f>
        <v>0.84568081442383503</v>
      </c>
      <c r="R47">
        <f t="shared" ref="R47:R52" si="13">1/(1/H47+1/(N47*B47))</f>
        <v>287.89843118636213</v>
      </c>
      <c r="S47">
        <f t="shared" ref="S47:S52" si="14">1/(1/I47+1/(O47*B47))</f>
        <v>318.51133334949049</v>
      </c>
    </row>
    <row r="48" spans="1:19">
      <c r="A48" s="1">
        <v>2</v>
      </c>
      <c r="B48" s="1">
        <v>16</v>
      </c>
      <c r="C48" s="1">
        <f t="shared" si="10"/>
        <v>2</v>
      </c>
      <c r="D48" s="1">
        <v>70.653417010331694</v>
      </c>
      <c r="H48" s="1">
        <v>210.13702641353001</v>
      </c>
      <c r="I48" s="1">
        <v>247.32279772147899</v>
      </c>
      <c r="J48" s="1">
        <v>1.0462953524421299</v>
      </c>
      <c r="K48" s="1">
        <v>164.823941556542</v>
      </c>
      <c r="L48" s="1">
        <v>110.03136285382</v>
      </c>
      <c r="M48" s="1">
        <v>1.0475139905294799</v>
      </c>
      <c r="N48" s="1">
        <v>299.05280962052598</v>
      </c>
      <c r="O48" s="1">
        <v>392.832909134354</v>
      </c>
      <c r="P48">
        <f t="shared" si="11"/>
        <v>16.760223848471679</v>
      </c>
      <c r="Q48">
        <f t="shared" si="12"/>
        <v>1.9092823753018071</v>
      </c>
      <c r="R48">
        <f t="shared" si="13"/>
        <v>201.29664019317818</v>
      </c>
      <c r="S48">
        <f t="shared" si="14"/>
        <v>237.9592817797934</v>
      </c>
    </row>
    <row r="49" spans="1:19">
      <c r="A49" s="1">
        <v>4</v>
      </c>
      <c r="B49" s="1">
        <v>8</v>
      </c>
      <c r="C49" s="1">
        <f t="shared" si="10"/>
        <v>4</v>
      </c>
      <c r="D49" s="1">
        <v>86.421744079368295</v>
      </c>
      <c r="H49" s="1">
        <v>121.995730284085</v>
      </c>
      <c r="I49" s="1">
        <v>188.74677950711501</v>
      </c>
      <c r="J49" s="1">
        <v>1.0538663500288801</v>
      </c>
      <c r="K49" s="1">
        <v>249.20349732895099</v>
      </c>
      <c r="L49" s="1">
        <v>183.97949395578601</v>
      </c>
      <c r="M49" s="1">
        <v>1.05534351145038</v>
      </c>
      <c r="N49" s="1">
        <v>350.61858722499699</v>
      </c>
      <c r="O49" s="1">
        <v>552.04205177169399</v>
      </c>
      <c r="P49">
        <f t="shared" si="11"/>
        <v>8.4427480916030397</v>
      </c>
      <c r="Q49">
        <f t="shared" si="12"/>
        <v>3.7902350813743282</v>
      </c>
      <c r="R49">
        <f t="shared" si="13"/>
        <v>116.91091963146546</v>
      </c>
      <c r="S49">
        <f t="shared" si="14"/>
        <v>181.01068761127382</v>
      </c>
    </row>
    <row r="50" spans="1:19">
      <c r="A50" s="1">
        <v>6</v>
      </c>
      <c r="B50" s="1">
        <v>5.3333333333333304</v>
      </c>
      <c r="C50" s="1">
        <f t="shared" si="10"/>
        <v>6.0000000000000036</v>
      </c>
      <c r="D50" s="1">
        <v>99.383268941151002</v>
      </c>
      <c r="H50" s="1">
        <v>101.225756619762</v>
      </c>
      <c r="I50" s="1">
        <v>164.51231103706999</v>
      </c>
      <c r="J50" s="1">
        <v>1.0708317466853901</v>
      </c>
      <c r="K50" s="1">
        <v>246.28890814750099</v>
      </c>
      <c r="L50" s="1">
        <v>250.83864471136599</v>
      </c>
      <c r="M50" s="1">
        <v>1.07212317666126</v>
      </c>
      <c r="N50" s="1">
        <v>376.51158488899898</v>
      </c>
      <c r="O50" s="1">
        <v>519.66880692954498</v>
      </c>
      <c r="P50">
        <f t="shared" si="11"/>
        <v>5.7179902755267165</v>
      </c>
      <c r="Q50">
        <f t="shared" si="12"/>
        <v>5.596371882086193</v>
      </c>
      <c r="R50">
        <f t="shared" si="13"/>
        <v>96.367882292132805</v>
      </c>
      <c r="S50">
        <f t="shared" si="14"/>
        <v>155.29447395246763</v>
      </c>
    </row>
    <row r="51" spans="1:19">
      <c r="A51" s="1">
        <v>8</v>
      </c>
      <c r="B51" s="1">
        <v>4</v>
      </c>
      <c r="C51" s="1">
        <f t="shared" si="10"/>
        <v>8</v>
      </c>
      <c r="D51" s="1">
        <v>111.510203615869</v>
      </c>
      <c r="H51" s="1">
        <v>88.608560264807096</v>
      </c>
      <c r="I51" s="1">
        <v>147.99449711971801</v>
      </c>
      <c r="J51" s="1">
        <v>1.08006890943582</v>
      </c>
      <c r="K51" s="1">
        <v>284.93611186565698</v>
      </c>
      <c r="L51" s="1">
        <v>318.54875548229103</v>
      </c>
      <c r="M51" s="1">
        <v>1.0816326530612199</v>
      </c>
      <c r="N51" s="1">
        <v>383.45706913171898</v>
      </c>
      <c r="O51" s="1">
        <v>510.114788020025</v>
      </c>
      <c r="P51">
        <f t="shared" si="11"/>
        <v>4.3265306122448797</v>
      </c>
      <c r="Q51">
        <f t="shared" si="12"/>
        <v>7.3962264150943708</v>
      </c>
      <c r="R51">
        <f t="shared" si="13"/>
        <v>83.76924894361693</v>
      </c>
      <c r="S51">
        <f t="shared" si="14"/>
        <v>137.98634767331481</v>
      </c>
    </row>
    <row r="52" spans="1:19">
      <c r="A52" s="1">
        <v>12</v>
      </c>
      <c r="B52" s="1">
        <v>2.6666666666666599</v>
      </c>
      <c r="C52" s="1">
        <f t="shared" si="10"/>
        <v>12.00000000000003</v>
      </c>
      <c r="D52" s="1">
        <v>135.47987350781301</v>
      </c>
      <c r="H52" s="1">
        <v>77.547773220153601</v>
      </c>
      <c r="I52" s="1">
        <v>131.96029735576499</v>
      </c>
      <c r="J52" s="1">
        <v>1.09155697320206</v>
      </c>
      <c r="K52" s="1">
        <v>302.27910355505799</v>
      </c>
      <c r="L52" s="1">
        <v>335.25271254549602</v>
      </c>
      <c r="M52" s="1">
        <v>1.0931989924433201</v>
      </c>
      <c r="N52" s="1">
        <v>399.979752187229</v>
      </c>
      <c r="O52" s="1">
        <v>515.71462507397598</v>
      </c>
      <c r="P52">
        <f t="shared" si="11"/>
        <v>2.9151973131821793</v>
      </c>
      <c r="Q52">
        <f t="shared" si="12"/>
        <v>10.976958525345699</v>
      </c>
      <c r="R52">
        <f t="shared" si="13"/>
        <v>72.291817070032465</v>
      </c>
      <c r="S52">
        <f t="shared" si="14"/>
        <v>120.40673565593329</v>
      </c>
    </row>
    <row r="53" spans="1:19">
      <c r="A53" s="1">
        <v>16</v>
      </c>
      <c r="B53" s="1">
        <v>2</v>
      </c>
      <c r="C53" s="1">
        <f t="shared" si="10"/>
        <v>16</v>
      </c>
      <c r="D53" s="1">
        <v>159.49674004748499</v>
      </c>
      <c r="H53" s="1">
        <v>85.768832411371207</v>
      </c>
      <c r="I53" s="1">
        <v>126.125004461752</v>
      </c>
      <c r="J53" s="1">
        <v>1.1289380363841099</v>
      </c>
      <c r="K53" s="1">
        <v>306.41997864803398</v>
      </c>
      <c r="L53" s="1">
        <v>309.69933800347599</v>
      </c>
      <c r="M53" s="1">
        <v>1.1308743229315099</v>
      </c>
      <c r="N53" s="1">
        <v>390.74029369545298</v>
      </c>
      <c r="O53" s="1">
        <v>438.41200501504198</v>
      </c>
      <c r="P53">
        <f t="shared" ref="P53" si="15">B53*M53</f>
        <v>2.2617486458630198</v>
      </c>
      <c r="Q53">
        <f t="shared" ref="Q53" si="16">C53/M53</f>
        <v>14.148344935911169</v>
      </c>
      <c r="R53">
        <f t="shared" ref="R53" si="17">1/(1/H53+1/(N53*B53))</f>
        <v>77.286506052609241</v>
      </c>
      <c r="S53">
        <f t="shared" ref="S53" si="18">1/(1/I53+1/(O53*B53))</f>
        <v>110.26426127279058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0.01</v>
      </c>
      <c r="B58" s="1">
        <v>30.593990753136602</v>
      </c>
      <c r="C58" s="1">
        <f t="shared" ref="C58:C64" si="19">32/B58</f>
        <v>1.0459570396751607</v>
      </c>
      <c r="D58" s="1">
        <v>49.898665643142799</v>
      </c>
      <c r="F58" s="1">
        <v>139.116285714285</v>
      </c>
      <c r="G58" s="1">
        <v>121.57842857142801</v>
      </c>
      <c r="H58" s="1">
        <v>155.34545853840601</v>
      </c>
      <c r="I58" s="1">
        <v>125.288617077379</v>
      </c>
      <c r="J58" s="1">
        <v>1.4362574536408099</v>
      </c>
      <c r="K58" s="1">
        <v>93.259095968481702</v>
      </c>
      <c r="L58" s="1">
        <v>37.429754745767497</v>
      </c>
      <c r="M58" s="1">
        <v>1.4364806577363101</v>
      </c>
      <c r="N58" s="1">
        <v>202.18133265256799</v>
      </c>
      <c r="O58" s="1">
        <v>135.04857029438199</v>
      </c>
      <c r="P58">
        <f>B58*M58</f>
        <v>43.947675959844254</v>
      </c>
      <c r="Q58">
        <f>C58/M58</f>
        <v>0.72813861714187</v>
      </c>
      <c r="R58">
        <f>1/(1/H58+1/(N58*B58))</f>
        <v>151.5396438521077</v>
      </c>
      <c r="S58">
        <f>1/(1/I58+1/(O58*B58))</f>
        <v>121.60119100388498</v>
      </c>
    </row>
    <row r="59" spans="1:19">
      <c r="A59" s="2">
        <v>5.0000000000000001E-3</v>
      </c>
      <c r="B59" s="1">
        <v>27.0394683732085</v>
      </c>
      <c r="C59" s="1">
        <f t="shared" si="19"/>
        <v>1.1834552202848241</v>
      </c>
      <c r="D59" s="1">
        <v>55.142775471938798</v>
      </c>
      <c r="F59" s="1">
        <v>139.39142857142801</v>
      </c>
      <c r="G59" s="1">
        <v>121.32985714285699</v>
      </c>
      <c r="H59" s="1">
        <v>155.211398804938</v>
      </c>
      <c r="I59" s="1">
        <v>124.977193280058</v>
      </c>
      <c r="J59" s="1">
        <v>1.44205192210934</v>
      </c>
      <c r="K59" s="1">
        <v>108.09826028965399</v>
      </c>
      <c r="L59" s="1">
        <v>44.1221006118544</v>
      </c>
      <c r="M59" s="1">
        <v>1.4441298764861199</v>
      </c>
      <c r="N59" s="1">
        <v>228.11847258557</v>
      </c>
      <c r="O59" s="1">
        <v>149.469945247753</v>
      </c>
      <c r="P59">
        <f t="shared" ref="P59:P64" si="20">B59*M59</f>
        <v>39.048504122051938</v>
      </c>
      <c r="Q59">
        <f t="shared" ref="Q59:Q64" si="21">C59/M59</f>
        <v>0.81949362003674242</v>
      </c>
      <c r="R59">
        <f t="shared" ref="R59:R64" si="22">1/(1/H59+1/(N59*B59))</f>
        <v>151.40165619550748</v>
      </c>
      <c r="S59">
        <f t="shared" ref="S59:S64" si="23">1/(1/I59+1/(O59*B59))</f>
        <v>121.22847013505583</v>
      </c>
    </row>
    <row r="60" spans="1:19">
      <c r="A60" s="2">
        <v>1E-3</v>
      </c>
      <c r="B60" s="1">
        <v>19.188321703369901</v>
      </c>
      <c r="C60" s="1">
        <f t="shared" si="19"/>
        <v>1.6676810246713802</v>
      </c>
      <c r="D60" s="1">
        <v>67.6918024671604</v>
      </c>
      <c r="F60" s="1">
        <v>139.339714285714</v>
      </c>
      <c r="G60" s="1">
        <v>120.720428571428</v>
      </c>
      <c r="H60" s="1">
        <v>155.00928095003499</v>
      </c>
      <c r="I60" s="1">
        <v>124.395008442102</v>
      </c>
      <c r="J60" s="1">
        <v>1.41169894119789</v>
      </c>
      <c r="K60" s="1">
        <v>136.12922343137399</v>
      </c>
      <c r="L60" s="1">
        <v>56.867130144501701</v>
      </c>
      <c r="M60" s="1">
        <v>1.4147620256456199</v>
      </c>
      <c r="N60" s="1">
        <v>255.172795611938</v>
      </c>
      <c r="O60" s="1">
        <v>169.88636806249301</v>
      </c>
      <c r="P60">
        <f t="shared" si="20"/>
        <v>27.146908881799412</v>
      </c>
      <c r="Q60">
        <f t="shared" si="21"/>
        <v>1.1787714077993732</v>
      </c>
      <c r="R60">
        <f t="shared" si="22"/>
        <v>150.25255421781839</v>
      </c>
      <c r="S60">
        <f t="shared" si="23"/>
        <v>119.82258831601568</v>
      </c>
    </row>
    <row r="61" spans="1:19">
      <c r="A61" s="2">
        <v>5.0000000000000001E-4</v>
      </c>
      <c r="B61" s="1">
        <v>16.406840389127002</v>
      </c>
      <c r="C61" s="1">
        <f t="shared" si="19"/>
        <v>1.9504060039010778</v>
      </c>
      <c r="D61" s="1">
        <v>73.388401862415193</v>
      </c>
      <c r="F61" s="1">
        <v>138.78700000000001</v>
      </c>
      <c r="G61" s="1">
        <v>120.49371428571401</v>
      </c>
      <c r="H61" s="1">
        <v>154.87759589886599</v>
      </c>
      <c r="I61" s="1">
        <v>124.143686957101</v>
      </c>
      <c r="J61" s="1">
        <v>1.39539033043849</v>
      </c>
      <c r="K61" s="1">
        <v>156.07430929592701</v>
      </c>
      <c r="L61" s="1">
        <v>65.401304042308396</v>
      </c>
      <c r="M61" s="1">
        <v>1.39358967215931</v>
      </c>
      <c r="N61" s="1">
        <v>266.39452775300799</v>
      </c>
      <c r="O61" s="1">
        <v>182.18536719161</v>
      </c>
      <c r="P61">
        <f t="shared" si="20"/>
        <v>22.864403319053622</v>
      </c>
      <c r="Q61">
        <f t="shared" si="21"/>
        <v>1.3995554379209798</v>
      </c>
      <c r="R61">
        <f t="shared" si="22"/>
        <v>149.57725379455647</v>
      </c>
      <c r="S61">
        <f t="shared" si="23"/>
        <v>119.19331214727541</v>
      </c>
    </row>
    <row r="62" spans="1:19">
      <c r="A62" s="2">
        <v>1E-4</v>
      </c>
      <c r="B62" s="1">
        <v>11.796568431822299</v>
      </c>
      <c r="C62" s="1">
        <f t="shared" si="19"/>
        <v>2.7126532758185116</v>
      </c>
      <c r="D62" s="1">
        <v>86.876287644694401</v>
      </c>
      <c r="F62" s="1">
        <v>138.53971428571401</v>
      </c>
      <c r="G62" s="1">
        <v>120.076142857142</v>
      </c>
      <c r="H62" s="1">
        <v>154.68614289256999</v>
      </c>
      <c r="I62" s="1">
        <v>123.778530128246</v>
      </c>
      <c r="J62" s="1">
        <v>1.3068167590435</v>
      </c>
      <c r="K62" s="1">
        <v>171.83922224978301</v>
      </c>
      <c r="L62" s="1">
        <v>81.357699890105707</v>
      </c>
      <c r="M62" s="1">
        <v>1.3078065586607699</v>
      </c>
      <c r="N62" s="1">
        <v>288.84019760277903</v>
      </c>
      <c r="O62" s="1">
        <v>194.98949430489901</v>
      </c>
      <c r="P62">
        <f t="shared" si="20"/>
        <v>15.427629564827797</v>
      </c>
      <c r="Q62">
        <f t="shared" si="21"/>
        <v>2.0742006972318165</v>
      </c>
      <c r="R62">
        <f t="shared" si="22"/>
        <v>147.96864139573412</v>
      </c>
      <c r="S62">
        <f t="shared" si="23"/>
        <v>117.45789624663563</v>
      </c>
    </row>
    <row r="63" spans="1:19">
      <c r="A63" s="2">
        <v>5.0000000000000002E-5</v>
      </c>
      <c r="B63" s="1">
        <v>10.4613005696716</v>
      </c>
      <c r="C63" s="1">
        <f t="shared" si="19"/>
        <v>3.058893087612006</v>
      </c>
      <c r="D63" s="1">
        <v>92.225731089715893</v>
      </c>
      <c r="F63" s="1">
        <v>138.482857142857</v>
      </c>
      <c r="G63" s="1">
        <v>120.136142857142</v>
      </c>
      <c r="H63" s="1">
        <v>154.6131462948</v>
      </c>
      <c r="I63" s="1">
        <v>123.75879997275401</v>
      </c>
      <c r="J63" s="1">
        <v>1.26275125265553</v>
      </c>
      <c r="K63" s="1">
        <v>192.60232640843799</v>
      </c>
      <c r="L63" s="1">
        <v>91.712555240814197</v>
      </c>
      <c r="M63" s="1">
        <v>1.2648707885169901</v>
      </c>
      <c r="N63" s="1">
        <v>293.63750906335099</v>
      </c>
      <c r="O63" s="1">
        <v>209.04287488677301</v>
      </c>
      <c r="P63">
        <f t="shared" si="20"/>
        <v>13.232193500473754</v>
      </c>
      <c r="Q63">
        <f t="shared" si="21"/>
        <v>2.4183443205281345</v>
      </c>
      <c r="R63">
        <f t="shared" si="22"/>
        <v>147.20398948067853</v>
      </c>
      <c r="S63">
        <f t="shared" si="23"/>
        <v>117.13016946197887</v>
      </c>
    </row>
    <row r="64" spans="1:19">
      <c r="A64" s="4">
        <v>1.0000000000000001E-5</v>
      </c>
      <c r="B64" s="1">
        <v>8.1715041310211092</v>
      </c>
      <c r="C64" s="1">
        <f t="shared" si="19"/>
        <v>3.9160477051611413</v>
      </c>
      <c r="D64" s="3">
        <v>9.1117395795495</v>
      </c>
      <c r="F64" s="1">
        <v>138.66399999999999</v>
      </c>
      <c r="G64" s="1">
        <v>119.890714285714</v>
      </c>
      <c r="H64" s="1">
        <v>154.353646583472</v>
      </c>
      <c r="I64" s="1">
        <v>123.49285633960299</v>
      </c>
      <c r="J64" s="1">
        <v>1.2030664836260301</v>
      </c>
      <c r="K64" s="1">
        <v>200.43448058221199</v>
      </c>
      <c r="L64" s="1">
        <v>108.67640620704699</v>
      </c>
      <c r="M64" s="1">
        <v>1.2037143050157399</v>
      </c>
      <c r="N64" s="1">
        <v>306.66521107644098</v>
      </c>
      <c r="O64" s="1">
        <v>236.239522429403</v>
      </c>
      <c r="P64">
        <f t="shared" si="20"/>
        <v>9.8361564160053216</v>
      </c>
      <c r="Q64">
        <f t="shared" si="21"/>
        <v>3.2533032870369807</v>
      </c>
      <c r="R64">
        <f t="shared" si="22"/>
        <v>145.39776953785878</v>
      </c>
      <c r="S64">
        <f t="shared" si="23"/>
        <v>116.06781165672555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13:S19">
    <sortCondition descending="1" ref="A13:A19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B959C-EC08-4943-B9FA-F4388093CE7E}">
  <dimension ref="A1:U113"/>
  <sheetViews>
    <sheetView topLeftCell="A45" workbookViewId="0">
      <selection activeCell="H59" sqref="H59"/>
    </sheetView>
  </sheetViews>
  <sheetFormatPr defaultRowHeight="15"/>
  <cols>
    <col min="1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0.01</v>
      </c>
      <c r="B3" s="1">
        <v>26.602609318871401</v>
      </c>
      <c r="C3" s="1">
        <v>1.20288952171694</v>
      </c>
      <c r="D3" s="1">
        <v>44.775975147042999</v>
      </c>
      <c r="F3" s="1">
        <v>70.444000000000003</v>
      </c>
      <c r="G3" s="1">
        <v>70.444000000000003</v>
      </c>
      <c r="H3" s="1">
        <v>130.344865196461</v>
      </c>
      <c r="I3" s="1">
        <v>71.007649807539707</v>
      </c>
      <c r="J3" s="1">
        <v>1.04432766504107</v>
      </c>
      <c r="K3" s="1">
        <v>230.77279362962699</v>
      </c>
      <c r="L3" s="1">
        <v>103.079443955114</v>
      </c>
      <c r="M3" s="1">
        <v>1.0440710373150299</v>
      </c>
      <c r="N3" s="1">
        <v>297.770452264727</v>
      </c>
      <c r="O3" s="1">
        <v>213.33414793538401</v>
      </c>
      <c r="P3">
        <f>B3*M3</f>
        <v>27.775013906840545</v>
      </c>
      <c r="Q3">
        <f>C3/M3</f>
        <v>1.1521146346615776</v>
      </c>
      <c r="R3">
        <f>1/(1/H3+1/(N3*B3))</f>
        <v>128.23480901161915</v>
      </c>
      <c r="S3">
        <f>1/(1/I3+1/(O3*B3))</f>
        <v>70.130193377135967</v>
      </c>
    </row>
    <row r="4" spans="1:19">
      <c r="A4" s="2">
        <v>5.0000000000000001E-3</v>
      </c>
      <c r="B4" s="1">
        <v>23.678501370544101</v>
      </c>
      <c r="C4" s="1">
        <v>1.3514368793545199</v>
      </c>
      <c r="D4" s="1">
        <v>50.7899262300621</v>
      </c>
      <c r="F4" s="1">
        <v>69.92</v>
      </c>
      <c r="G4" s="1">
        <v>69.92</v>
      </c>
      <c r="H4" s="1">
        <v>128.119255181591</v>
      </c>
      <c r="I4" s="1">
        <v>70.484702276139501</v>
      </c>
      <c r="J4" s="1">
        <v>1.0031408225665801</v>
      </c>
      <c r="K4" s="1">
        <v>204.630905825073</v>
      </c>
      <c r="L4" s="1">
        <v>115.504025208559</v>
      </c>
      <c r="M4" s="1">
        <v>1.00397614314115</v>
      </c>
      <c r="N4" s="1">
        <v>332.52065665246198</v>
      </c>
      <c r="O4" s="1">
        <v>344.09223341500598</v>
      </c>
      <c r="P4">
        <f>B4*M4</f>
        <v>23.7726504813613</v>
      </c>
      <c r="Q4">
        <f>C4/M4</f>
        <v>1.3460846540897538</v>
      </c>
      <c r="R4">
        <f>1/(1/H4+1/(N4*B4))</f>
        <v>126.06787574078639</v>
      </c>
      <c r="S4">
        <f>1/(1/I4+1/(O4*B4))</f>
        <v>69.880169658733038</v>
      </c>
    </row>
    <row r="5" spans="1:19">
      <c r="A5" s="2">
        <v>1E-3</v>
      </c>
      <c r="B5" s="1">
        <v>17.669092019872899</v>
      </c>
      <c r="C5" s="1">
        <v>1.8110721232312601</v>
      </c>
      <c r="D5" s="1">
        <v>64.771407444905506</v>
      </c>
      <c r="F5" s="1">
        <v>64.763999999999996</v>
      </c>
      <c r="G5" s="1">
        <v>64.763999999999996</v>
      </c>
      <c r="H5" s="1">
        <v>120.729392722432</v>
      </c>
      <c r="I5" s="1">
        <v>65.239340748964807</v>
      </c>
      <c r="J5" s="1">
        <v>0.99886998388236303</v>
      </c>
      <c r="K5" s="1">
        <v>264.54957659699397</v>
      </c>
      <c r="L5" s="1">
        <v>159.193764503317</v>
      </c>
      <c r="M5" s="1">
        <v>1</v>
      </c>
      <c r="N5" s="1">
        <v>382.52232498847502</v>
      </c>
      <c r="O5" s="1">
        <v>494.06714178793101</v>
      </c>
      <c r="P5">
        <f>B5*M5</f>
        <v>17.669092019872899</v>
      </c>
      <c r="Q5">
        <f>C5/M5</f>
        <v>1.8110721232312601</v>
      </c>
      <c r="R5">
        <f>1/(1/H5+1/(N5*B5))</f>
        <v>118.61071010835673</v>
      </c>
      <c r="S5">
        <f>1/(1/I5+1/(O5*B5))</f>
        <v>64.755407568052306</v>
      </c>
    </row>
    <row r="6" spans="1:19">
      <c r="A6" s="2">
        <v>5.0000000000000001E-4</v>
      </c>
      <c r="B6" s="1">
        <v>15.9517698545204</v>
      </c>
      <c r="C6" s="1">
        <v>2.00604699615395</v>
      </c>
      <c r="D6" s="1">
        <v>70.791983666556206</v>
      </c>
      <c r="F6" s="1">
        <v>59.359000000000002</v>
      </c>
      <c r="G6" s="1">
        <v>59.359000000000002</v>
      </c>
      <c r="H6" s="1">
        <v>119.821666922684</v>
      </c>
      <c r="I6" s="1">
        <v>59.760514540155697</v>
      </c>
      <c r="J6" s="1">
        <v>0.99869999999999903</v>
      </c>
      <c r="K6" s="1">
        <v>275.85707111509498</v>
      </c>
      <c r="L6" s="1">
        <v>174.480589070831</v>
      </c>
      <c r="M6" s="1">
        <v>1</v>
      </c>
      <c r="N6" s="1">
        <v>382.829376353908</v>
      </c>
      <c r="O6" s="1">
        <v>482.15544624771002</v>
      </c>
      <c r="P6">
        <f>B6*M6</f>
        <v>15.9517698545204</v>
      </c>
      <c r="Q6">
        <f>C6/M6</f>
        <v>2.00604699615395</v>
      </c>
      <c r="R6">
        <f>1/(1/H6+1/(N6*B6))</f>
        <v>117.51588723106158</v>
      </c>
      <c r="S6">
        <f>1/(1/I6+1/(O6*B6))</f>
        <v>59.29975822242632</v>
      </c>
    </row>
    <row r="7" spans="1:19">
      <c r="A7" s="2">
        <v>1E-4</v>
      </c>
      <c r="B7" s="1">
        <v>10.682595523833999</v>
      </c>
      <c r="C7" s="1">
        <v>2.9955266890527001</v>
      </c>
      <c r="D7" s="1">
        <v>84.771182316618805</v>
      </c>
      <c r="F7" s="1">
        <v>53.500999999999998</v>
      </c>
      <c r="G7" s="1">
        <v>53.500999999999998</v>
      </c>
      <c r="H7" s="1">
        <v>116.203392391593</v>
      </c>
      <c r="I7" s="1">
        <v>53.8473644656126</v>
      </c>
      <c r="J7" s="1">
        <v>0.99942983985157396</v>
      </c>
      <c r="K7" s="1">
        <v>286.003350643065</v>
      </c>
      <c r="L7" s="1">
        <v>209.96759847415501</v>
      </c>
      <c r="M7" s="1">
        <v>1</v>
      </c>
      <c r="N7" s="1">
        <v>378.06100321382797</v>
      </c>
      <c r="O7" s="1">
        <v>479.32174391034602</v>
      </c>
      <c r="P7">
        <f>B7*M7</f>
        <v>10.682595523833999</v>
      </c>
      <c r="Q7">
        <f>C7/M7</f>
        <v>2.9955266890527001</v>
      </c>
      <c r="R7">
        <f>1/(1/H7+1/(N7*B7))</f>
        <v>112.95342107093866</v>
      </c>
      <c r="S7">
        <f>1/(1/I7+1/(O7*B7))</f>
        <v>53.286985674536496</v>
      </c>
    </row>
    <row r="8" spans="1:19">
      <c r="A8" s="2">
        <v>5.0000000000000002E-5</v>
      </c>
      <c r="B8" s="1">
        <v>8.5940384494185693</v>
      </c>
      <c r="C8" s="1">
        <v>3.7235113838901799</v>
      </c>
      <c r="D8" s="1">
        <v>90.791718518954298</v>
      </c>
      <c r="F8" s="1">
        <v>51.100999999999999</v>
      </c>
      <c r="G8" s="1">
        <v>51.100999999999999</v>
      </c>
      <c r="H8" s="1">
        <v>115.880832244169</v>
      </c>
      <c r="I8" s="1">
        <v>51.433090711262302</v>
      </c>
      <c r="J8" s="1">
        <v>1.00101967284417</v>
      </c>
      <c r="K8" s="1">
        <v>299.09164740923001</v>
      </c>
      <c r="L8" s="1">
        <v>241.69716899536601</v>
      </c>
      <c r="M8" s="1">
        <v>1</v>
      </c>
      <c r="N8" s="1">
        <v>398.74931224866299</v>
      </c>
      <c r="O8" s="1">
        <v>495.88955495466399</v>
      </c>
      <c r="P8">
        <f>B8*M8</f>
        <v>8.5940384494185693</v>
      </c>
      <c r="Q8">
        <f>C8/M8</f>
        <v>3.7235113838901799</v>
      </c>
      <c r="R8">
        <f>1/(1/H8+1/(N8*B8))</f>
        <v>112.09045025359178</v>
      </c>
      <c r="S8">
        <f>1/(1/I8+1/(O8*B8))</f>
        <v>50.819762417285155</v>
      </c>
    </row>
    <row r="9" spans="1:19">
      <c r="A9" s="2">
        <v>1.0000000000000001E-5</v>
      </c>
      <c r="B9" s="1">
        <v>5.4561939531109198</v>
      </c>
      <c r="C9" s="1">
        <v>5.8648941505744503</v>
      </c>
      <c r="D9" s="1">
        <v>104.77108080354201</v>
      </c>
      <c r="F9" s="1">
        <v>46.911000000000001</v>
      </c>
      <c r="G9" s="1">
        <v>46.911000000000001</v>
      </c>
      <c r="H9" s="1">
        <v>115.05491390917101</v>
      </c>
      <c r="I9" s="1">
        <v>47.266101679304597</v>
      </c>
      <c r="J9" s="1">
        <v>1.00124989766384</v>
      </c>
      <c r="K9" s="1">
        <v>318.23838993911301</v>
      </c>
      <c r="L9" s="1">
        <v>285.863975398619</v>
      </c>
      <c r="M9" s="1">
        <v>1</v>
      </c>
      <c r="N9" s="1">
        <v>410.97512748460201</v>
      </c>
      <c r="O9" s="1">
        <v>529.71225608393797</v>
      </c>
      <c r="P9">
        <f>B9*M9</f>
        <v>5.4561939531109198</v>
      </c>
      <c r="Q9">
        <f>C9/M9</f>
        <v>5.8648941505744503</v>
      </c>
      <c r="R9">
        <f>1/(1/H9+1/(N9*B9))</f>
        <v>109.43959642480283</v>
      </c>
      <c r="S9">
        <f>1/(1/I9+1/(O9*B9))</f>
        <v>46.505556859666662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0.01</v>
      </c>
      <c r="B13" s="1">
        <v>29.312007043718399</v>
      </c>
      <c r="C13" s="1">
        <v>1.0917027944307001</v>
      </c>
      <c r="D13" s="1">
        <v>55.418630785966201</v>
      </c>
      <c r="F13" s="1">
        <v>63.131999999999998</v>
      </c>
      <c r="G13" s="1">
        <v>63.131999999999998</v>
      </c>
      <c r="H13" s="1">
        <v>83.585809757528395</v>
      </c>
      <c r="I13" s="1">
        <v>60.973921080852698</v>
      </c>
      <c r="J13" s="1">
        <v>4.4772345369962903</v>
      </c>
      <c r="K13" s="1">
        <v>291.11523912502702</v>
      </c>
      <c r="L13" s="1">
        <v>124.384823378682</v>
      </c>
      <c r="M13" s="1">
        <v>4.4878118370164</v>
      </c>
      <c r="N13" s="1">
        <v>398.01303156781898</v>
      </c>
      <c r="O13" s="1">
        <v>263.43857979002399</v>
      </c>
      <c r="P13">
        <f>B13*M13</f>
        <v>131.54677217750753</v>
      </c>
      <c r="Q13">
        <f>C13/M13</f>
        <v>0.24325948459472158</v>
      </c>
      <c r="R13">
        <f>1/(1/H13+1/(N13*B13))</f>
        <v>82.991213976395485</v>
      </c>
      <c r="S13">
        <f>1/(1/I13+1/(O13*B13))</f>
        <v>60.496229595961076</v>
      </c>
    </row>
    <row r="14" spans="1:19">
      <c r="A14" s="2">
        <v>5.0000000000000001E-3</v>
      </c>
      <c r="B14" s="1">
        <v>28.8465675027991</v>
      </c>
      <c r="C14" s="1">
        <v>1.1093174256138001</v>
      </c>
      <c r="D14" s="1">
        <v>58.981531187043203</v>
      </c>
      <c r="F14" s="1">
        <v>64.332999999999998</v>
      </c>
      <c r="G14" s="1">
        <v>64.332999999999998</v>
      </c>
      <c r="H14" s="1">
        <v>75.6002858804721</v>
      </c>
      <c r="I14" s="1">
        <v>61.798089305106799</v>
      </c>
      <c r="J14" s="1">
        <v>3.0464841832123102</v>
      </c>
      <c r="K14" s="1">
        <v>286.36874267973002</v>
      </c>
      <c r="L14" s="1">
        <v>122.670566693298</v>
      </c>
      <c r="M14" s="1">
        <v>3.0509132593021899</v>
      </c>
      <c r="N14" s="1">
        <v>383.546886519108</v>
      </c>
      <c r="O14" s="1">
        <v>254.90384948081899</v>
      </c>
      <c r="P14">
        <f>B14*M14</f>
        <v>88.008375279645435</v>
      </c>
      <c r="Q14">
        <f>C14/M14</f>
        <v>0.36360175833629732</v>
      </c>
      <c r="R14">
        <f>1/(1/H14+1/(N14*B14))</f>
        <v>75.087215630504787</v>
      </c>
      <c r="S14">
        <f>1/(1/I14+1/(O14*B14))</f>
        <v>61.283044697774478</v>
      </c>
    </row>
    <row r="15" spans="1:19">
      <c r="A15" s="2">
        <v>1E-3</v>
      </c>
      <c r="B15" s="1">
        <v>25.243169502072799</v>
      </c>
      <c r="C15" s="1">
        <v>1.2676696560379299</v>
      </c>
      <c r="D15" s="1">
        <v>69.351842925048899</v>
      </c>
      <c r="F15" s="1">
        <v>62.667000000000002</v>
      </c>
      <c r="G15" s="1">
        <v>62.667000000000002</v>
      </c>
      <c r="H15" s="1">
        <v>71.704577590866705</v>
      </c>
      <c r="I15" s="1">
        <v>60.016548074850803</v>
      </c>
      <c r="J15" s="1">
        <v>1.37919870899992</v>
      </c>
      <c r="K15" s="1">
        <v>267.11952162787998</v>
      </c>
      <c r="L15" s="1">
        <v>136.06851224932299</v>
      </c>
      <c r="M15" s="1">
        <v>1.38002011083094</v>
      </c>
      <c r="N15" s="1">
        <v>363.37208624369401</v>
      </c>
      <c r="O15" s="1">
        <v>224.63715820287101</v>
      </c>
      <c r="P15">
        <f>B15*M15</f>
        <v>34.83608157397471</v>
      </c>
      <c r="Q15">
        <f>C15/M15</f>
        <v>0.91858781338674733</v>
      </c>
      <c r="R15">
        <f>1/(1/H15+1/(N15*B15))</f>
        <v>71.148396076841706</v>
      </c>
      <c r="S15">
        <f>1/(1/I15+1/(O15*B15))</f>
        <v>59.387991790622976</v>
      </c>
    </row>
    <row r="16" spans="1:19">
      <c r="A16" s="2">
        <v>5.0000000000000001E-4</v>
      </c>
      <c r="B16" s="1">
        <v>22.277679912225</v>
      </c>
      <c r="C16" s="1">
        <v>1.43641528768171</v>
      </c>
      <c r="D16" s="1">
        <v>73.823457267049506</v>
      </c>
      <c r="F16" s="1">
        <v>53.097000000000001</v>
      </c>
      <c r="G16" s="1">
        <v>53.097000000000001</v>
      </c>
      <c r="H16" s="1">
        <v>73.716234461923904</v>
      </c>
      <c r="I16" s="1">
        <v>51.899050837957802</v>
      </c>
      <c r="J16" s="1">
        <v>1.1243743220974201</v>
      </c>
      <c r="K16" s="1">
        <v>239.547292393844</v>
      </c>
      <c r="L16" s="1">
        <v>143.71787528660201</v>
      </c>
      <c r="M16" s="1">
        <v>1.1268281329922001</v>
      </c>
      <c r="N16" s="1">
        <v>369.13375898067102</v>
      </c>
      <c r="O16" s="1">
        <v>240.114445209601</v>
      </c>
      <c r="P16">
        <f>B16*M16</f>
        <v>25.103116462890338</v>
      </c>
      <c r="Q16">
        <f>C16/M16</f>
        <v>1.2747421240428445</v>
      </c>
      <c r="R16">
        <f>1/(1/H16+1/(N16*B16))</f>
        <v>73.061301539304083</v>
      </c>
      <c r="S16">
        <f>1/(1/I16+1/(O16*B16))</f>
        <v>51.400353245718016</v>
      </c>
    </row>
    <row r="17" spans="1:19">
      <c r="A17" s="2">
        <v>1E-4</v>
      </c>
      <c r="B17" s="1">
        <v>13.338954011085701</v>
      </c>
      <c r="C17" s="1">
        <v>2.3989887043170999</v>
      </c>
      <c r="D17" s="1">
        <v>85.750886954293506</v>
      </c>
      <c r="F17" s="1">
        <v>43.963000000000001</v>
      </c>
      <c r="G17" s="1">
        <v>43.963000000000001</v>
      </c>
      <c r="H17" s="1">
        <v>74.800570223901602</v>
      </c>
      <c r="I17" s="1">
        <v>44.807436540690198</v>
      </c>
      <c r="J17" s="1">
        <v>1.00058640630842</v>
      </c>
      <c r="K17" s="1">
        <v>343.65143375760999</v>
      </c>
      <c r="L17" s="1">
        <v>245.007332983118</v>
      </c>
      <c r="M17" s="1">
        <v>1</v>
      </c>
      <c r="N17" s="1">
        <v>447.575823126035</v>
      </c>
      <c r="O17" s="1">
        <v>452.88068216427899</v>
      </c>
      <c r="P17">
        <f>B17*M17</f>
        <v>13.338954011085701</v>
      </c>
      <c r="Q17">
        <f>C17/M17</f>
        <v>2.3989887043170999</v>
      </c>
      <c r="R17">
        <f>1/(1/H17+1/(N17*B17))</f>
        <v>73.874990247087538</v>
      </c>
      <c r="S17">
        <f>1/(1/I17+1/(O17*B17))</f>
        <v>44.477534326314114</v>
      </c>
    </row>
    <row r="18" spans="1:19">
      <c r="A18" s="2">
        <v>5.0000000000000002E-5</v>
      </c>
      <c r="B18" s="1">
        <v>10.2015729581359</v>
      </c>
      <c r="C18" s="1">
        <v>3.1367711755155598</v>
      </c>
      <c r="D18" s="1">
        <v>91.190255053164904</v>
      </c>
      <c r="F18" s="1">
        <v>44.713999999999999</v>
      </c>
      <c r="G18" s="1">
        <v>44.713999999999999</v>
      </c>
      <c r="H18" s="1">
        <v>70.3218463134573</v>
      </c>
      <c r="I18" s="1">
        <v>44.498039684705802</v>
      </c>
      <c r="J18" s="1">
        <v>0.99869999799739595</v>
      </c>
      <c r="K18" s="1">
        <v>363.41893543225501</v>
      </c>
      <c r="L18" s="1">
        <v>284.28116531886002</v>
      </c>
      <c r="M18" s="1">
        <v>1</v>
      </c>
      <c r="N18" s="1">
        <v>480.02624642993999</v>
      </c>
      <c r="O18" s="1">
        <v>511.01780043837698</v>
      </c>
      <c r="P18">
        <f>B18*M18</f>
        <v>10.2015729581359</v>
      </c>
      <c r="Q18">
        <f>C18/M18</f>
        <v>3.1367711755155598</v>
      </c>
      <c r="R18">
        <f>1/(1/H18+1/(N18*B18))</f>
        <v>69.326311989557354</v>
      </c>
      <c r="S18">
        <f>1/(1/I18+1/(O18*B18))</f>
        <v>44.121433605572456</v>
      </c>
    </row>
    <row r="19" spans="1:19">
      <c r="A19" s="2">
        <v>1.0000000000000001E-5</v>
      </c>
      <c r="B19" s="1">
        <v>5.9741250762828599</v>
      </c>
      <c r="C19" s="1">
        <v>5.3564328820364304</v>
      </c>
      <c r="D19" s="1">
        <v>104.78397050438601</v>
      </c>
      <c r="F19" s="1">
        <v>41.459000000000003</v>
      </c>
      <c r="G19" s="1">
        <v>41.459000000000003</v>
      </c>
      <c r="H19" s="1">
        <v>72.370177843804797</v>
      </c>
      <c r="I19" s="1">
        <v>40.996825296249497</v>
      </c>
      <c r="J19" s="1">
        <v>0.99951993436534803</v>
      </c>
      <c r="K19" s="1">
        <v>389.447677963991</v>
      </c>
      <c r="L19" s="1">
        <v>307.63673061019199</v>
      </c>
      <c r="M19" s="1">
        <v>1</v>
      </c>
      <c r="N19" s="1">
        <v>502.98754715769701</v>
      </c>
      <c r="O19" s="1">
        <v>547.75796243786294</v>
      </c>
      <c r="P19">
        <f>B19*M19</f>
        <v>5.9741250762828599</v>
      </c>
      <c r="Q19">
        <f>C19/M19</f>
        <v>5.3564328820364304</v>
      </c>
      <c r="R19">
        <f>1/(1/H19+1/(N19*B19))</f>
        <v>70.668206799268347</v>
      </c>
      <c r="S19">
        <f>1/(1/I19+1/(O19*B19))</f>
        <v>40.489565626499193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0.01</v>
      </c>
      <c r="B24" s="1">
        <v>10.252735928140099</v>
      </c>
      <c r="C24" s="1">
        <v>3.1211181312269098</v>
      </c>
      <c r="D24" s="1">
        <v>44.775975450946</v>
      </c>
      <c r="F24" s="1">
        <v>112.57086080000001</v>
      </c>
      <c r="G24" s="1">
        <v>96.194849599999998</v>
      </c>
      <c r="H24" s="1">
        <v>154.60029202791901</v>
      </c>
      <c r="I24" s="1">
        <v>115.48346293681401</v>
      </c>
      <c r="J24" s="1">
        <v>1.9356858726948301</v>
      </c>
      <c r="K24" s="1">
        <v>315.29344508384401</v>
      </c>
      <c r="L24" s="1">
        <v>193.01557358259001</v>
      </c>
      <c r="M24" s="1">
        <v>1.9376491153053399</v>
      </c>
      <c r="N24" s="1">
        <v>401.85798840744098</v>
      </c>
      <c r="O24" s="1">
        <v>282.65938518993102</v>
      </c>
      <c r="P24">
        <f>B24*M24</f>
        <v>19.866204700619935</v>
      </c>
      <c r="Q24">
        <f>C24/M24</f>
        <v>1.6107757109238408</v>
      </c>
      <c r="R24">
        <f>1/(1/H24+1/(N24*B24))</f>
        <v>149.00902163122424</v>
      </c>
      <c r="S24">
        <f>1/(1/I24+1/(O24*B24))</f>
        <v>111.05792398551297</v>
      </c>
    </row>
    <row r="25" spans="1:19">
      <c r="A25" s="2">
        <v>5.0000000000000001E-3</v>
      </c>
      <c r="B25" s="1">
        <v>8.2295784975637396</v>
      </c>
      <c r="C25" s="1">
        <v>3.8884129982444602</v>
      </c>
      <c r="D25" s="1">
        <v>50.789926538550702</v>
      </c>
      <c r="F25" s="1">
        <v>102.2283438</v>
      </c>
      <c r="G25" s="1">
        <v>84.090123300000002</v>
      </c>
      <c r="H25" s="1">
        <v>125.235766881827</v>
      </c>
      <c r="I25" s="1">
        <v>96.058800170504199</v>
      </c>
      <c r="J25" s="1">
        <v>1.5609841965468101</v>
      </c>
      <c r="K25" s="1">
        <v>325.45216629713701</v>
      </c>
      <c r="L25" s="1">
        <v>191.164409077503</v>
      </c>
      <c r="M25" s="1">
        <v>1.5635949799312601</v>
      </c>
      <c r="N25" s="1">
        <v>414.15917886400899</v>
      </c>
      <c r="O25" s="1">
        <v>265.00847025881001</v>
      </c>
      <c r="P25">
        <f>B25*M25</f>
        <v>12.867727625740905</v>
      </c>
      <c r="Q25">
        <f>C25/M25</f>
        <v>2.4868415722436032</v>
      </c>
      <c r="R25">
        <f>1/(1/H25+1/(N25*B25))</f>
        <v>120.79722369955584</v>
      </c>
      <c r="S25">
        <f>1/(1/I25+1/(O25*B25))</f>
        <v>92.006350633250207</v>
      </c>
    </row>
    <row r="26" spans="1:19">
      <c r="A26" s="2">
        <v>1E-3</v>
      </c>
      <c r="B26" s="1">
        <v>5.3743019339200702</v>
      </c>
      <c r="C26" s="1">
        <v>5.9542616684840404</v>
      </c>
      <c r="D26" s="1">
        <v>64.771407092497796</v>
      </c>
      <c r="F26" s="1">
        <v>88.0375114</v>
      </c>
      <c r="G26" s="1">
        <v>89.069789200000002</v>
      </c>
      <c r="H26" s="1">
        <v>106.39667113533299</v>
      </c>
      <c r="I26" s="1">
        <v>100.18545441429301</v>
      </c>
      <c r="J26" s="1">
        <v>1.11240237279626</v>
      </c>
      <c r="K26" s="1">
        <v>338.54939263583799</v>
      </c>
      <c r="L26" s="1">
        <v>207.02476678938601</v>
      </c>
      <c r="M26" s="1">
        <v>1.1118127786796299</v>
      </c>
      <c r="N26" s="1">
        <v>413.87083798174001</v>
      </c>
      <c r="O26" s="1">
        <v>283.37767848285199</v>
      </c>
      <c r="P26">
        <f>B26*M26</f>
        <v>5.9752175666149823</v>
      </c>
      <c r="Q26">
        <f>C26/M26</f>
        <v>5.3554535283856159</v>
      </c>
      <c r="R26">
        <f>1/(1/H26+1/(N26*B26))</f>
        <v>101.53957720027479</v>
      </c>
      <c r="S26">
        <f>1/(1/I26+1/(O26*B26))</f>
        <v>94.001694031377994</v>
      </c>
    </row>
    <row r="27" spans="1:19">
      <c r="A27" s="2">
        <v>5.0000000000000001E-4</v>
      </c>
      <c r="B27" s="1">
        <v>4.6263614694334603</v>
      </c>
      <c r="C27" s="1">
        <v>6.9168827838951001</v>
      </c>
      <c r="D27" s="1">
        <v>70.791983313378296</v>
      </c>
      <c r="F27" s="1">
        <v>78.479012900000001</v>
      </c>
      <c r="G27" s="1">
        <v>78.794211300000001</v>
      </c>
      <c r="H27" s="1">
        <v>92.724139488567602</v>
      </c>
      <c r="I27" s="1">
        <v>93.116009389439299</v>
      </c>
      <c r="J27" s="1">
        <v>1.0578621474254899</v>
      </c>
      <c r="K27" s="1">
        <v>347.06770364834603</v>
      </c>
      <c r="L27" s="1">
        <v>227.19216912442599</v>
      </c>
      <c r="M27" s="1">
        <v>1.0577597064289599</v>
      </c>
      <c r="N27" s="1">
        <v>431.52287460459701</v>
      </c>
      <c r="O27" s="1">
        <v>317.12427406168501</v>
      </c>
      <c r="P27">
        <f>B27*M27</f>
        <v>4.8935787497421881</v>
      </c>
      <c r="Q27">
        <f>C27/M27</f>
        <v>6.5391815757917078</v>
      </c>
      <c r="R27">
        <f>1/(1/H27+1/(N27*B27))</f>
        <v>88.608613322145445</v>
      </c>
      <c r="S27">
        <f>1/(1/I27+1/(O27*B27))</f>
        <v>87.558819887664441</v>
      </c>
    </row>
    <row r="28" spans="1:19">
      <c r="A28" s="2">
        <v>1E-4</v>
      </c>
      <c r="B28" s="1">
        <v>3.4744316333333098</v>
      </c>
      <c r="C28" s="1">
        <v>9.21013949245555</v>
      </c>
      <c r="D28" s="1">
        <v>84.771182612645205</v>
      </c>
      <c r="F28" s="1">
        <v>57.090392799999996</v>
      </c>
      <c r="G28" s="1">
        <v>68.7820198</v>
      </c>
      <c r="H28" s="1">
        <v>67.143259950311105</v>
      </c>
      <c r="I28" s="1">
        <v>78.436224719417694</v>
      </c>
      <c r="J28" s="1">
        <v>1.0364022937105399</v>
      </c>
      <c r="K28" s="1">
        <v>359.64262689739201</v>
      </c>
      <c r="L28" s="1">
        <v>244.11722983457699</v>
      </c>
      <c r="M28" s="1">
        <v>1.0369414302703901</v>
      </c>
      <c r="N28" s="1">
        <v>442.86955958217101</v>
      </c>
      <c r="O28" s="1">
        <v>341.16400993686301</v>
      </c>
      <c r="P28">
        <f>B28*M28</f>
        <v>3.6027821072453299</v>
      </c>
      <c r="Q28">
        <f>C28/M28</f>
        <v>8.8820247929084459</v>
      </c>
      <c r="R28">
        <f>1/(1/H28+1/(N28*B28))</f>
        <v>64.335911747741392</v>
      </c>
      <c r="S28">
        <f>1/(1/I28+1/(O28*B28))</f>
        <v>73.568125809861456</v>
      </c>
    </row>
    <row r="29" spans="1:19">
      <c r="A29" s="2">
        <v>5.0000000000000002E-5</v>
      </c>
      <c r="B29" s="1">
        <v>3.1353768435895399</v>
      </c>
      <c r="C29" s="1">
        <v>10.206109694732801</v>
      </c>
      <c r="D29" s="1">
        <v>90.791718802428903</v>
      </c>
      <c r="F29" s="1">
        <v>51.632153099999996</v>
      </c>
      <c r="G29" s="1">
        <v>64.349768400000002</v>
      </c>
      <c r="H29" s="1">
        <v>63.087273651736098</v>
      </c>
      <c r="I29" s="1">
        <v>74.780647563984601</v>
      </c>
      <c r="J29" s="1">
        <v>1.0339582808075001</v>
      </c>
      <c r="K29" s="1">
        <v>364.157632266718</v>
      </c>
      <c r="L29" s="1">
        <v>251.711290928214</v>
      </c>
      <c r="M29" s="1">
        <v>1.03489854206481</v>
      </c>
      <c r="N29" s="1">
        <v>446.89252100239401</v>
      </c>
      <c r="O29" s="1">
        <v>349.970449275178</v>
      </c>
      <c r="P29">
        <f>B29*M29</f>
        <v>3.2447969242545809</v>
      </c>
      <c r="Q29">
        <f>C29/M29</f>
        <v>9.8619422869895672</v>
      </c>
      <c r="R29">
        <f>1/(1/H29+1/(N29*B29))</f>
        <v>60.369181275267159</v>
      </c>
      <c r="S29">
        <f>1/(1/I29+1/(O29*B29))</f>
        <v>70.009477092814208</v>
      </c>
    </row>
    <row r="30" spans="1:19">
      <c r="A30" s="2">
        <v>1.0000000000000001E-5</v>
      </c>
      <c r="B30" s="1">
        <v>2.55524669441728</v>
      </c>
      <c r="C30" s="1">
        <v>12.523252674551401</v>
      </c>
      <c r="D30" s="1">
        <v>104.771081075726</v>
      </c>
      <c r="F30" s="1">
        <v>57.727284400000002</v>
      </c>
      <c r="G30" s="1">
        <v>75.7356719</v>
      </c>
      <c r="H30" s="1">
        <v>63.376524106961099</v>
      </c>
      <c r="I30" s="1">
        <v>85.101894600114505</v>
      </c>
      <c r="J30" s="1">
        <v>1.0281032691449301</v>
      </c>
      <c r="K30" s="1">
        <v>372.18753847458601</v>
      </c>
      <c r="L30" s="1">
        <v>270.08202787126299</v>
      </c>
      <c r="M30" s="1">
        <v>1.0279456591276801</v>
      </c>
      <c r="N30" s="1">
        <v>445.65448968896601</v>
      </c>
      <c r="O30" s="1">
        <v>377.46982841600999</v>
      </c>
      <c r="P30">
        <f>B30*M30</f>
        <v>2.6266547475265969</v>
      </c>
      <c r="Q30">
        <f>C30/M30</f>
        <v>12.182796399158587</v>
      </c>
      <c r="R30">
        <f>1/(1/H30+1/(N30*B30))</f>
        <v>60.035311847845307</v>
      </c>
      <c r="S30">
        <f>1/(1/I30+1/(O30*B30))</f>
        <v>78.202006519695473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0.01</v>
      </c>
      <c r="B35" s="1">
        <v>3.0063080142365002</v>
      </c>
      <c r="C35" s="1">
        <v>10.644285232405499</v>
      </c>
      <c r="D35" s="1">
        <v>73.041226396686199</v>
      </c>
      <c r="H35" s="1">
        <v>200.34337591051201</v>
      </c>
      <c r="I35" s="1">
        <v>184.364415871902</v>
      </c>
      <c r="J35" s="1">
        <v>1.0148897685617999</v>
      </c>
      <c r="K35" s="1">
        <v>308.49500378103301</v>
      </c>
      <c r="L35" s="1">
        <v>205.322161228011</v>
      </c>
      <c r="M35" s="1">
        <v>1.0169792694965401</v>
      </c>
      <c r="N35" s="1">
        <v>380.29891028572899</v>
      </c>
      <c r="O35" s="1">
        <v>317.55610017708102</v>
      </c>
      <c r="P35">
        <f>B35*M35</f>
        <v>3.0573529281998297</v>
      </c>
      <c r="Q35">
        <f>C35/M35</f>
        <v>10.46657051099478</v>
      </c>
      <c r="R35">
        <f>1/(1/H35+1/(N35*B35))</f>
        <v>170.47116533549732</v>
      </c>
      <c r="S35">
        <f>1/(1/I35+1/(O35*B35))</f>
        <v>154.52318006003577</v>
      </c>
    </row>
    <row r="36" spans="1:19">
      <c r="A36" s="2">
        <v>5.0000000000000001E-3</v>
      </c>
      <c r="B36" s="1">
        <v>2.7972155565615302</v>
      </c>
      <c r="C36" s="1">
        <v>11.4399478170126</v>
      </c>
      <c r="D36" s="1">
        <v>79.022005218861494</v>
      </c>
      <c r="H36" s="1">
        <v>162.56607590600001</v>
      </c>
      <c r="I36" s="1">
        <v>161.19698802097901</v>
      </c>
      <c r="J36" s="1">
        <v>1.01467872309762</v>
      </c>
      <c r="K36" s="1">
        <v>303.46299963926998</v>
      </c>
      <c r="L36" s="1">
        <v>203.846796052667</v>
      </c>
      <c r="M36" s="1">
        <v>1.0149753694581201</v>
      </c>
      <c r="N36" s="1">
        <v>364.69076706645899</v>
      </c>
      <c r="O36" s="1">
        <v>304.48102806472002</v>
      </c>
      <c r="P36">
        <f>B36*M36</f>
        <v>2.83910489297504</v>
      </c>
      <c r="Q36">
        <f>C36/M36</f>
        <v>11.271158060830791</v>
      </c>
      <c r="R36">
        <f>1/(1/H36+1/(N36*B36))</f>
        <v>140.22053644783517</v>
      </c>
      <c r="S36">
        <f>1/(1/I36+1/(O36*B36))</f>
        <v>135.54334983884289</v>
      </c>
    </row>
    <row r="37" spans="1:19">
      <c r="A37" s="2">
        <v>1E-3</v>
      </c>
      <c r="B37" s="1">
        <v>2.4593789059189999</v>
      </c>
      <c r="C37" s="1">
        <v>13.0114151678642</v>
      </c>
      <c r="D37" s="1">
        <v>91.0318977461028</v>
      </c>
      <c r="H37" s="1">
        <v>176.371678374315</v>
      </c>
      <c r="I37" s="1">
        <v>129.577353050531</v>
      </c>
      <c r="J37" s="1">
        <v>1.00552995216289</v>
      </c>
      <c r="K37" s="1">
        <v>406.19545891510001</v>
      </c>
      <c r="L37" s="1">
        <v>409.08210689569501</v>
      </c>
      <c r="M37" s="1">
        <v>1.00999999999999</v>
      </c>
      <c r="N37" s="1">
        <v>498.44614420907499</v>
      </c>
      <c r="O37" s="1">
        <v>585.78946232846795</v>
      </c>
      <c r="P37">
        <f>B37*M37</f>
        <v>2.4839726949781653</v>
      </c>
      <c r="Q37">
        <f>C37/M37</f>
        <v>12.882589275113197</v>
      </c>
      <c r="R37">
        <f>1/(1/H37+1/(N37*B37))</f>
        <v>154.18790273099029</v>
      </c>
      <c r="S37">
        <f>1/(1/I37+1/(O37*B37))</f>
        <v>118.88464135221483</v>
      </c>
    </row>
    <row r="38" spans="1:19">
      <c r="A38" s="2">
        <v>5.0000000000000001E-4</v>
      </c>
      <c r="B38" s="1">
        <v>2.2570817185558698</v>
      </c>
      <c r="C38" s="1">
        <v>14.1775992144733</v>
      </c>
      <c r="D38" s="1">
        <v>97.0477987850213</v>
      </c>
      <c r="H38" s="1">
        <v>160.929202551618</v>
      </c>
      <c r="I38" s="1">
        <v>145.611708460454</v>
      </c>
      <c r="J38" s="1">
        <v>1.0042199645536201</v>
      </c>
      <c r="K38" s="1">
        <v>418.40536665045403</v>
      </c>
      <c r="L38" s="1">
        <v>450.85962224225102</v>
      </c>
      <c r="M38" s="1">
        <v>1.0009910802774999</v>
      </c>
      <c r="N38" s="1">
        <v>505.301860277424</v>
      </c>
      <c r="O38" s="1">
        <v>584.02530239182101</v>
      </c>
      <c r="P38">
        <f>B38*M38</f>
        <v>2.2593186677318364</v>
      </c>
      <c r="Q38">
        <f>C38/M38</f>
        <v>14.163561987528313</v>
      </c>
      <c r="R38">
        <f>1/(1/H38+1/(N38*B38))</f>
        <v>141.0294975805044</v>
      </c>
      <c r="S38">
        <f>1/(1/I38+1/(O38*B38))</f>
        <v>131.12700846308769</v>
      </c>
    </row>
    <row r="39" spans="1:19">
      <c r="A39" s="4">
        <v>1E-4</v>
      </c>
      <c r="B39" s="1">
        <v>1.8049327488878799</v>
      </c>
      <c r="C39" s="1">
        <v>17.729192414352699</v>
      </c>
      <c r="D39" s="1" t="e">
        <f>-inf</f>
        <v>#NAME?</v>
      </c>
      <c r="H39" s="1">
        <v>186.628066891223</v>
      </c>
      <c r="I39" s="1">
        <v>139.18236033407001</v>
      </c>
      <c r="J39" s="1">
        <v>1.0004499235388999</v>
      </c>
      <c r="K39" s="1">
        <v>433.62603410513299</v>
      </c>
      <c r="L39" s="1">
        <v>506.31866349891499</v>
      </c>
      <c r="M39" s="1">
        <v>1</v>
      </c>
      <c r="N39" s="1">
        <v>531.406729782046</v>
      </c>
      <c r="O39" s="1">
        <v>616.56536956085597</v>
      </c>
      <c r="P39">
        <f>B39*M39</f>
        <v>1.8049327488878799</v>
      </c>
      <c r="Q39">
        <f>C39/M39</f>
        <v>17.729192414352699</v>
      </c>
      <c r="R39">
        <f>1/(1/H39+1/(N39*B39))</f>
        <v>156.22956938771975</v>
      </c>
      <c r="S39">
        <f>1/(1/I39+1/(O39*B39))</f>
        <v>123.71024446097833</v>
      </c>
    </row>
    <row r="40" spans="1:19">
      <c r="A40" s="4">
        <v>5.0000000000000002E-5</v>
      </c>
      <c r="B40" s="1">
        <v>1.7166403280742499</v>
      </c>
      <c r="C40" s="1">
        <v>18.641062706419099</v>
      </c>
      <c r="D40" s="1" t="e">
        <f>-inf</f>
        <v>#NAME?</v>
      </c>
      <c r="H40" s="1">
        <v>168.59727026116701</v>
      </c>
      <c r="I40" s="1">
        <v>150.147765134553</v>
      </c>
      <c r="J40" s="1">
        <v>0.999459997598655</v>
      </c>
      <c r="K40" s="1">
        <v>434.73423307914697</v>
      </c>
      <c r="L40" s="1">
        <v>522.64283689848901</v>
      </c>
      <c r="M40" s="1">
        <v>1</v>
      </c>
      <c r="N40" s="1">
        <v>532.63052424532395</v>
      </c>
      <c r="O40" s="1">
        <v>617.936183745937</v>
      </c>
      <c r="P40">
        <f>B40*M40</f>
        <v>1.7166403280742499</v>
      </c>
      <c r="Q40">
        <f>C40/M40</f>
        <v>18.641062706419099</v>
      </c>
      <c r="R40">
        <f>1/(1/H40+1/(N40*B40))</f>
        <v>142.34905573681399</v>
      </c>
      <c r="S40">
        <f>1/(1/I40+1/(O40*B40))</f>
        <v>131.53025506944644</v>
      </c>
    </row>
    <row r="41" spans="1:19">
      <c r="A41" s="4">
        <v>1.0000000000000001E-5</v>
      </c>
      <c r="B41" s="1">
        <v>1.5900684315886</v>
      </c>
      <c r="C41" s="1">
        <v>20.124920012423299</v>
      </c>
      <c r="H41" s="1">
        <v>180.59673846268399</v>
      </c>
      <c r="I41" s="1">
        <v>142.15418745945601</v>
      </c>
      <c r="J41" s="1">
        <v>1.0018599157353401</v>
      </c>
      <c r="K41" s="1">
        <v>434.755295751044</v>
      </c>
      <c r="L41" s="1">
        <v>519.65294404172005</v>
      </c>
      <c r="M41" s="1">
        <v>1</v>
      </c>
      <c r="N41" s="1">
        <v>521.69457513272096</v>
      </c>
      <c r="O41" s="1">
        <v>617.40545992946295</v>
      </c>
      <c r="P41">
        <f>B41*M41</f>
        <v>1.5900684315886</v>
      </c>
      <c r="Q41">
        <f>C41/M41</f>
        <v>20.124920012423299</v>
      </c>
      <c r="R41">
        <f>1/(1/H41+1/(N41*B41))</f>
        <v>148.30853314674701</v>
      </c>
      <c r="S41">
        <f>1/(1/I41+1/(O41*B41))</f>
        <v>124.17364442875045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52.3281061261101</v>
      </c>
      <c r="H46" s="1">
        <v>604.29074901099898</v>
      </c>
      <c r="I46" s="1">
        <v>658.28144139199105</v>
      </c>
      <c r="J46" s="1">
        <v>1.0076754997973401</v>
      </c>
      <c r="K46" s="1">
        <v>168.54037870537601</v>
      </c>
      <c r="L46" s="1">
        <v>76.588911038352194</v>
      </c>
      <c r="M46" s="1">
        <v>1.00798403193612</v>
      </c>
      <c r="N46" s="1">
        <v>310.21895023845201</v>
      </c>
      <c r="O46" s="1">
        <v>251.86583010669901</v>
      </c>
      <c r="P46">
        <f>B46*M46</f>
        <v>64.510978043911678</v>
      </c>
      <c r="Q46">
        <f>C46/M46</f>
        <v>0.49603960396039987</v>
      </c>
      <c r="R46">
        <f>1/(1/H46+1/(N46*B46))</f>
        <v>586.44140445547112</v>
      </c>
      <c r="S46">
        <f>1/(1/I46+1/(O46*B46))</f>
        <v>632.45343180944019</v>
      </c>
    </row>
    <row r="47" spans="1:19">
      <c r="A47" s="2">
        <v>1</v>
      </c>
      <c r="B47" s="1">
        <v>32</v>
      </c>
      <c r="C47" s="1">
        <v>1</v>
      </c>
      <c r="D47" s="1">
        <v>61.682782363282101</v>
      </c>
      <c r="H47" s="1">
        <v>387.69875404396402</v>
      </c>
      <c r="I47" s="1">
        <v>426.25944003300702</v>
      </c>
      <c r="J47" s="1">
        <v>0.99849999999999905</v>
      </c>
      <c r="K47" s="1">
        <v>315.05862921473198</v>
      </c>
      <c r="L47" s="1">
        <v>293.43082154567202</v>
      </c>
      <c r="M47" s="1">
        <v>1</v>
      </c>
      <c r="N47" s="1">
        <v>407.51778369237297</v>
      </c>
      <c r="O47" s="1">
        <v>722.39982417014596</v>
      </c>
      <c r="P47">
        <f t="shared" ref="P47:P53" si="0">B47*M47</f>
        <v>32</v>
      </c>
      <c r="Q47">
        <f t="shared" ref="Q47:Q53" si="1">C47/M47</f>
        <v>1</v>
      </c>
      <c r="R47">
        <f t="shared" ref="R47:R53" si="2">1/(1/H47+1/(N47*B47))</f>
        <v>376.50517898532468</v>
      </c>
      <c r="S47">
        <f t="shared" ref="S47:S53" si="3">1/(1/I47+1/(O47*B47))</f>
        <v>418.54178744397723</v>
      </c>
    </row>
    <row r="48" spans="1:19">
      <c r="A48" s="2">
        <v>2</v>
      </c>
      <c r="B48" s="1">
        <v>16</v>
      </c>
      <c r="C48" s="1">
        <v>2</v>
      </c>
      <c r="D48" s="1">
        <v>71.004374710709598</v>
      </c>
      <c r="H48" s="1">
        <v>230.39051501571799</v>
      </c>
      <c r="I48" s="1">
        <v>277.67086859980702</v>
      </c>
      <c r="J48" s="1">
        <v>0.99849999999999905</v>
      </c>
      <c r="K48" s="1">
        <v>331.01363443365301</v>
      </c>
      <c r="L48" s="1">
        <v>432.508642970788</v>
      </c>
      <c r="M48" s="1">
        <v>1</v>
      </c>
      <c r="N48" s="1">
        <v>457.18752483619397</v>
      </c>
      <c r="O48" s="1">
        <v>556.90585469760299</v>
      </c>
      <c r="P48">
        <f t="shared" si="0"/>
        <v>16</v>
      </c>
      <c r="Q48">
        <f t="shared" si="1"/>
        <v>2</v>
      </c>
      <c r="R48">
        <f t="shared" si="2"/>
        <v>223.35578480419065</v>
      </c>
      <c r="S48">
        <f t="shared" si="3"/>
        <v>269.27951786792215</v>
      </c>
    </row>
    <row r="49" spans="1:19">
      <c r="A49" s="2">
        <v>4</v>
      </c>
      <c r="B49" s="1">
        <v>8</v>
      </c>
      <c r="C49" s="1">
        <v>4</v>
      </c>
      <c r="D49" s="1">
        <v>83.698482460038406</v>
      </c>
      <c r="H49" s="1">
        <v>105.81141246532</v>
      </c>
      <c r="I49" s="1">
        <v>176.60752743510801</v>
      </c>
      <c r="J49" s="1">
        <v>0.99849999999999905</v>
      </c>
      <c r="K49" s="1">
        <v>383.17815723786703</v>
      </c>
      <c r="L49" s="1">
        <v>459.32170107298498</v>
      </c>
      <c r="M49" s="1">
        <v>1</v>
      </c>
      <c r="N49" s="1">
        <v>487.95082012534903</v>
      </c>
      <c r="O49" s="1">
        <v>593.43330498711202</v>
      </c>
      <c r="P49">
        <f t="shared" si="0"/>
        <v>8</v>
      </c>
      <c r="Q49">
        <f t="shared" si="1"/>
        <v>4</v>
      </c>
      <c r="R49">
        <f t="shared" si="2"/>
        <v>103.01897349238308</v>
      </c>
      <c r="S49">
        <f t="shared" si="3"/>
        <v>170.27329708973363</v>
      </c>
    </row>
    <row r="50" spans="1:19">
      <c r="A50" s="2">
        <v>6</v>
      </c>
      <c r="B50" s="1">
        <v>5.3333333333333304</v>
      </c>
      <c r="C50" s="1">
        <v>6</v>
      </c>
      <c r="D50" s="1">
        <v>95.500248718413005</v>
      </c>
      <c r="H50" s="1">
        <v>96.102278996744403</v>
      </c>
      <c r="I50" s="1">
        <v>155.98657067673801</v>
      </c>
      <c r="J50" s="1">
        <v>0.99849999999999905</v>
      </c>
      <c r="K50" s="1">
        <v>402.40843455195198</v>
      </c>
      <c r="L50" s="1">
        <v>466.959018293913</v>
      </c>
      <c r="M50" s="1">
        <v>1</v>
      </c>
      <c r="N50" s="1">
        <v>514.07100723330302</v>
      </c>
      <c r="O50" s="1">
        <v>610.03238064695495</v>
      </c>
      <c r="P50">
        <f t="shared" si="0"/>
        <v>5.3333333333333304</v>
      </c>
      <c r="Q50">
        <f t="shared" si="1"/>
        <v>6</v>
      </c>
      <c r="R50">
        <f t="shared" si="2"/>
        <v>92.847785575109157</v>
      </c>
      <c r="S50">
        <f t="shared" si="3"/>
        <v>148.85008056503523</v>
      </c>
    </row>
    <row r="51" spans="1:19">
      <c r="A51" s="2">
        <v>8</v>
      </c>
      <c r="B51" s="1">
        <v>4</v>
      </c>
      <c r="C51" s="1">
        <v>8</v>
      </c>
      <c r="D51" s="1">
        <v>107.435836865098</v>
      </c>
      <c r="H51" s="1">
        <v>91.830857723239106</v>
      </c>
      <c r="I51" s="1">
        <v>152.511935069743</v>
      </c>
      <c r="J51" s="1">
        <v>0.99849999999999905</v>
      </c>
      <c r="K51" s="1">
        <v>413.39125546596898</v>
      </c>
      <c r="L51" s="1">
        <v>475.30539662512598</v>
      </c>
      <c r="M51" s="1">
        <v>1</v>
      </c>
      <c r="N51" s="1">
        <v>512.77776084034701</v>
      </c>
      <c r="O51" s="1">
        <v>592.80631295271496</v>
      </c>
      <c r="P51">
        <f t="shared" si="0"/>
        <v>4</v>
      </c>
      <c r="Q51">
        <f t="shared" si="1"/>
        <v>8</v>
      </c>
      <c r="R51">
        <f t="shared" si="2"/>
        <v>87.895657041448558</v>
      </c>
      <c r="S51">
        <f t="shared" si="3"/>
        <v>143.29548794536262</v>
      </c>
    </row>
    <row r="52" spans="1:19">
      <c r="A52" s="2">
        <v>12</v>
      </c>
      <c r="B52" s="1">
        <v>2.6666666666666599</v>
      </c>
      <c r="C52" s="1">
        <v>12</v>
      </c>
      <c r="D52" s="1">
        <v>131.50725207909699</v>
      </c>
      <c r="H52" s="1">
        <v>94.301790792795302</v>
      </c>
      <c r="I52" s="1">
        <v>124.765135207296</v>
      </c>
      <c r="J52" s="1">
        <v>0.99849999999999905</v>
      </c>
      <c r="K52" s="1">
        <v>416.470329993532</v>
      </c>
      <c r="L52" s="1">
        <v>518.58638422928504</v>
      </c>
      <c r="M52" s="1">
        <v>1</v>
      </c>
      <c r="N52" s="1">
        <v>530.50479910051695</v>
      </c>
      <c r="O52" s="1">
        <v>603.49768567663295</v>
      </c>
      <c r="P52">
        <f t="shared" si="0"/>
        <v>2.6666666666666599</v>
      </c>
      <c r="Q52">
        <f t="shared" si="1"/>
        <v>12</v>
      </c>
      <c r="R52">
        <f t="shared" si="2"/>
        <v>88.408524910993748</v>
      </c>
      <c r="S52">
        <f t="shared" si="3"/>
        <v>115.78848558482767</v>
      </c>
    </row>
    <row r="53" spans="1:19">
      <c r="A53" s="2">
        <v>16</v>
      </c>
      <c r="B53" s="1">
        <v>2</v>
      </c>
      <c r="C53" s="1">
        <v>16</v>
      </c>
      <c r="D53" s="1">
        <v>155.563975409687</v>
      </c>
      <c r="H53" s="1">
        <v>79.421783869129499</v>
      </c>
      <c r="I53" s="1">
        <v>140.548017513193</v>
      </c>
      <c r="J53" s="1">
        <v>0.99849999999999905</v>
      </c>
      <c r="K53" s="1">
        <v>431.15012213904299</v>
      </c>
      <c r="L53" s="1">
        <v>513.00699726546702</v>
      </c>
      <c r="M53" s="1">
        <v>1</v>
      </c>
      <c r="N53" s="1">
        <v>534.18681517805203</v>
      </c>
      <c r="O53" s="1">
        <v>625.34178571993903</v>
      </c>
      <c r="P53">
        <f t="shared" si="0"/>
        <v>2</v>
      </c>
      <c r="Q53">
        <f t="shared" si="1"/>
        <v>16</v>
      </c>
      <c r="R53">
        <f t="shared" si="2"/>
        <v>73.926187986118833</v>
      </c>
      <c r="S53">
        <f t="shared" si="3"/>
        <v>126.34927060164978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0.01</v>
      </c>
      <c r="B58" s="1">
        <v>12.1150196088263</v>
      </c>
      <c r="C58" s="1">
        <v>2.6413494185916599</v>
      </c>
      <c r="D58" s="1">
        <v>44.775975135301103</v>
      </c>
      <c r="F58" s="1">
        <v>161.7372</v>
      </c>
      <c r="G58" s="1">
        <v>149.19839999999999</v>
      </c>
      <c r="H58" s="1">
        <v>185.733035714327</v>
      </c>
      <c r="I58" s="1">
        <v>150.715763221278</v>
      </c>
      <c r="J58" s="1">
        <v>1.48725593386477</v>
      </c>
      <c r="K58" s="1">
        <v>244.42070347667999</v>
      </c>
      <c r="L58" s="1">
        <v>143.20230273543399</v>
      </c>
      <c r="M58" s="1">
        <v>1.48878433279815</v>
      </c>
      <c r="N58" s="1">
        <v>316.32206843280102</v>
      </c>
      <c r="O58" s="1">
        <v>195.88558896338</v>
      </c>
      <c r="P58">
        <f>B58*M58</f>
        <v>18.036651385162969</v>
      </c>
      <c r="Q58">
        <f>C58/M58</f>
        <v>1.7741652436839388</v>
      </c>
      <c r="R58">
        <f>1/(1/H58+1/(N58*B58))</f>
        <v>177.14744018296022</v>
      </c>
      <c r="S58">
        <f>1/(1/I58+1/(O58*B58))</f>
        <v>141.71561279694885</v>
      </c>
    </row>
    <row r="59" spans="1:19">
      <c r="A59" s="2">
        <v>5.0000000000000001E-3</v>
      </c>
      <c r="B59" s="1">
        <v>11.2558340439841</v>
      </c>
      <c r="C59" s="1">
        <v>2.8429701321958398</v>
      </c>
      <c r="D59" s="1">
        <v>50.789926217720698</v>
      </c>
      <c r="F59" s="1">
        <v>146.9271</v>
      </c>
      <c r="G59" s="1">
        <v>134.68510000000001</v>
      </c>
      <c r="H59" s="1">
        <v>170.57390416783099</v>
      </c>
      <c r="I59" s="1">
        <v>135.976239436968</v>
      </c>
      <c r="J59" s="1">
        <v>1.2912231207359901</v>
      </c>
      <c r="K59" s="1">
        <v>250.97710139152801</v>
      </c>
      <c r="L59" s="1">
        <v>138.749080522356</v>
      </c>
      <c r="M59" s="1">
        <v>1.2922232143827701</v>
      </c>
      <c r="N59" s="1">
        <v>324.768735404143</v>
      </c>
      <c r="O59" s="1">
        <v>205.47010975113</v>
      </c>
      <c r="P59">
        <f>B59*M59</f>
        <v>14.545050048876147</v>
      </c>
      <c r="Q59">
        <f>C59/M59</f>
        <v>2.20006118180889</v>
      </c>
      <c r="R59">
        <f>1/(1/H59+1/(N59*B59))</f>
        <v>162.96946927989057</v>
      </c>
      <c r="S59">
        <f>1/(1/I59+1/(O59*B59))</f>
        <v>128.42552506673709</v>
      </c>
    </row>
    <row r="60" spans="1:19">
      <c r="A60" s="2">
        <v>1E-3</v>
      </c>
      <c r="B60" s="1">
        <v>9.8946986737445499</v>
      </c>
      <c r="C60" s="1">
        <v>3.2340550283670102</v>
      </c>
      <c r="D60" s="1">
        <v>64.771407583985095</v>
      </c>
      <c r="F60" s="1">
        <v>149.47790000000001</v>
      </c>
      <c r="G60" s="1">
        <v>139.30349999999899</v>
      </c>
      <c r="H60" s="1">
        <v>174.41526220821601</v>
      </c>
      <c r="I60" s="1">
        <v>140.668868211872</v>
      </c>
      <c r="J60" s="1">
        <v>1.15811649364488</v>
      </c>
      <c r="K60" s="1">
        <v>257.948939498713</v>
      </c>
      <c r="L60" s="1">
        <v>151.41646665608599</v>
      </c>
      <c r="M60" s="1">
        <v>1.1599999999999999</v>
      </c>
      <c r="N60" s="1">
        <v>332.90680236473099</v>
      </c>
      <c r="O60" s="1">
        <v>228.771795662838</v>
      </c>
      <c r="P60">
        <f>B60*M60</f>
        <v>11.477850461543676</v>
      </c>
      <c r="Q60">
        <f>C60/M60</f>
        <v>2.7879784727301815</v>
      </c>
      <c r="R60">
        <f>1/(1/H60+1/(N60*B60))</f>
        <v>165.64452058888082</v>
      </c>
      <c r="S60">
        <f>1/(1/I60+1/(O60*B60))</f>
        <v>132.43871540319446</v>
      </c>
    </row>
    <row r="61" spans="1:19">
      <c r="A61" s="2">
        <v>5.0000000000000001E-4</v>
      </c>
      <c r="B61" s="1">
        <v>9.0648187484377392</v>
      </c>
      <c r="C61" s="1">
        <v>3.53013125668011</v>
      </c>
      <c r="D61" s="1">
        <v>70.791983804890094</v>
      </c>
      <c r="F61" s="1">
        <v>142.20740000000001</v>
      </c>
      <c r="G61" s="1">
        <v>129.77940000000001</v>
      </c>
      <c r="H61" s="1">
        <v>163.537542389842</v>
      </c>
      <c r="I61" s="1">
        <v>130.975237702822</v>
      </c>
      <c r="J61" s="1">
        <v>1.1688428156628401</v>
      </c>
      <c r="K61" s="1">
        <v>262.16598592880302</v>
      </c>
      <c r="L61" s="1">
        <v>157.420337043785</v>
      </c>
      <c r="M61" s="1">
        <v>1.1689581173997401</v>
      </c>
      <c r="N61" s="1">
        <v>332.03298493057599</v>
      </c>
      <c r="O61" s="1">
        <v>229.24058506776501</v>
      </c>
      <c r="P61">
        <f>B61*M61</f>
        <v>10.596393458743648</v>
      </c>
      <c r="Q61">
        <f>C61/M61</f>
        <v>3.0198954129619486</v>
      </c>
      <c r="R61">
        <f>1/(1/H61+1/(N61*B61))</f>
        <v>155.10970616264015</v>
      </c>
      <c r="S61">
        <f>1/(1/I61+1/(O61*B61))</f>
        <v>123.20949932957427</v>
      </c>
    </row>
    <row r="62" spans="1:19">
      <c r="A62" s="2">
        <v>1E-4</v>
      </c>
      <c r="B62" s="1">
        <v>6.3744796124072796</v>
      </c>
      <c r="C62" s="1">
        <v>5.0200176242959804</v>
      </c>
      <c r="D62" s="1">
        <v>84.771182431216701</v>
      </c>
      <c r="F62" s="1">
        <v>146.1095</v>
      </c>
      <c r="G62" s="1">
        <v>139.00389999999999</v>
      </c>
      <c r="H62" s="1">
        <v>171.91271194889401</v>
      </c>
      <c r="I62" s="1">
        <v>140.32945332263299</v>
      </c>
      <c r="J62" s="1">
        <v>1.2217567459782801</v>
      </c>
      <c r="K62" s="1">
        <v>269.91672007019002</v>
      </c>
      <c r="L62" s="1">
        <v>196.77129678635299</v>
      </c>
      <c r="M62" s="1">
        <v>1.2239804241435499</v>
      </c>
      <c r="N62" s="1">
        <v>331.10563312603301</v>
      </c>
      <c r="O62" s="1">
        <v>250.120499013157</v>
      </c>
      <c r="P62">
        <f>B62*M62</f>
        <v>7.8022382596886732</v>
      </c>
      <c r="Q62">
        <f>C62/M62</f>
        <v>4.1013871833845821</v>
      </c>
      <c r="R62">
        <f>1/(1/H62+1/(N62*B62))</f>
        <v>158.96485744914693</v>
      </c>
      <c r="S62">
        <f>1/(1/I62+1/(O62*B62))</f>
        <v>128.97754400341881</v>
      </c>
    </row>
    <row r="63" spans="1:19">
      <c r="A63" s="2">
        <v>5.0000000000000002E-5</v>
      </c>
      <c r="B63" s="1">
        <v>5.4065078471638204</v>
      </c>
      <c r="C63" s="1">
        <v>5.9187928519861002</v>
      </c>
      <c r="D63" s="1">
        <v>90.791718636616807</v>
      </c>
      <c r="F63" s="1">
        <v>143.9425</v>
      </c>
      <c r="G63" s="1">
        <v>131.74090000000001</v>
      </c>
      <c r="H63" s="1">
        <v>167.33324603094599</v>
      </c>
      <c r="I63" s="1">
        <v>132.991880696941</v>
      </c>
      <c r="J63" s="1">
        <v>1.2118599548353599</v>
      </c>
      <c r="K63" s="1">
        <v>272.06166305746598</v>
      </c>
      <c r="L63" s="1">
        <v>200.58381573078799</v>
      </c>
      <c r="M63" s="1">
        <v>1.21398026315789</v>
      </c>
      <c r="N63" s="1">
        <v>329.87016561249902</v>
      </c>
      <c r="O63" s="1">
        <v>256.304384137623</v>
      </c>
      <c r="P63">
        <f>B63*M63</f>
        <v>6.5633938190651318</v>
      </c>
      <c r="Q63">
        <f>C63/M63</f>
        <v>4.8755264246139589</v>
      </c>
      <c r="R63">
        <f>1/(1/H63+1/(N63*B63))</f>
        <v>152.97979190904275</v>
      </c>
      <c r="S63">
        <f>1/(1/I63+1/(O63*B63))</f>
        <v>121.34586828597732</v>
      </c>
    </row>
    <row r="64" spans="1:19">
      <c r="A64" s="4">
        <v>1.0000000000000001E-5</v>
      </c>
      <c r="B64" s="1">
        <v>3.9165299419753001</v>
      </c>
      <c r="C64" s="1">
        <v>8.1704979852294404</v>
      </c>
      <c r="D64" s="1">
        <v>64.845060849640006</v>
      </c>
      <c r="F64" s="1">
        <v>148.6328</v>
      </c>
      <c r="G64" s="1">
        <v>140.36840000000001</v>
      </c>
      <c r="H64" s="1">
        <v>176.16696473979999</v>
      </c>
      <c r="I64" s="1">
        <v>141.74391192355699</v>
      </c>
      <c r="J64" s="1">
        <v>1.1592700348632199</v>
      </c>
      <c r="K64" s="1">
        <v>278.88429969189502</v>
      </c>
      <c r="L64" s="1">
        <v>223.923502244106</v>
      </c>
      <c r="M64" s="1">
        <v>1.15994827432444</v>
      </c>
      <c r="N64" s="1">
        <v>331.50024711135501</v>
      </c>
      <c r="O64" s="1">
        <v>293.34822147771803</v>
      </c>
      <c r="P64">
        <f>B64*M64</f>
        <v>4.5429721475342486</v>
      </c>
      <c r="Q64">
        <f>C64/M64</f>
        <v>7.0438468387635487</v>
      </c>
      <c r="R64">
        <f>1/(1/H64+1/(N64*B64))</f>
        <v>155.11925378357969</v>
      </c>
      <c r="S64">
        <f>1/(1/I64+1/(O64*B64))</f>
        <v>126.17708828711473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DB58-24F4-411E-806E-44288B104BF0}">
  <dimension ref="A1:U113"/>
  <sheetViews>
    <sheetView workbookViewId="0">
      <selection activeCell="K60" sqref="K60"/>
    </sheetView>
  </sheetViews>
  <sheetFormatPr defaultRowHeight="15"/>
  <cols>
    <col min="1" max="1" width="8.7109375" style="5"/>
    <col min="2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0.01</v>
      </c>
      <c r="B3" s="1">
        <v>27.446594481965501</v>
      </c>
      <c r="C3" s="1">
        <v>1.1659005644953999</v>
      </c>
      <c r="D3" s="1">
        <v>44.7552652207604</v>
      </c>
      <c r="F3" s="1">
        <v>66.3333333333333</v>
      </c>
      <c r="G3" s="1">
        <v>66.3333333333333</v>
      </c>
      <c r="H3" s="1">
        <v>119.734466155314</v>
      </c>
      <c r="I3" s="1">
        <v>67.372282309960198</v>
      </c>
      <c r="J3" s="1">
        <v>1.5742950502008899</v>
      </c>
      <c r="K3" s="1">
        <v>228.01242666733299</v>
      </c>
      <c r="L3" s="1">
        <v>102.434427259689</v>
      </c>
      <c r="M3" s="1">
        <v>1.5739347765104701</v>
      </c>
      <c r="N3" s="1">
        <v>317.05732178721797</v>
      </c>
      <c r="O3" s="1">
        <v>192.52435035909599</v>
      </c>
      <c r="P3">
        <f>B3*M3</f>
        <v>43.199149551945872</v>
      </c>
      <c r="Q3">
        <f>C3/M3</f>
        <v>0.74075532347044759</v>
      </c>
      <c r="R3">
        <f>1/(1/H3+1/(N3*B3))</f>
        <v>118.10937657090798</v>
      </c>
      <c r="S3">
        <f>1/(1/I3+1/(O3*B3))</f>
        <v>66.524105930319593</v>
      </c>
    </row>
    <row r="4" spans="1:19">
      <c r="A4" s="2">
        <v>5.0000000000000001E-3</v>
      </c>
      <c r="B4" s="1">
        <v>25.442037923743101</v>
      </c>
      <c r="C4" s="1">
        <v>1.2577608796871</v>
      </c>
      <c r="D4" s="1">
        <v>51.257344376953498</v>
      </c>
      <c r="F4" s="1">
        <v>65.1666666666666</v>
      </c>
      <c r="G4" s="1">
        <v>65.1666666666666</v>
      </c>
      <c r="H4" s="1">
        <v>117.500080222138</v>
      </c>
      <c r="I4" s="1">
        <v>65.685453437275896</v>
      </c>
      <c r="J4" s="1">
        <v>1.32350214120542</v>
      </c>
      <c r="K4" s="1">
        <v>223.66252184822301</v>
      </c>
      <c r="L4" s="1">
        <v>110.94684179593099</v>
      </c>
      <c r="M4" s="1">
        <v>1.32411972785345</v>
      </c>
      <c r="N4" s="1">
        <v>321.72694693340702</v>
      </c>
      <c r="O4" s="1">
        <v>217.909538024515</v>
      </c>
      <c r="P4">
        <f>B4*M4</f>
        <v>33.688304331623868</v>
      </c>
      <c r="Q4">
        <f>C4/M4</f>
        <v>0.94988455592763865</v>
      </c>
      <c r="R4">
        <f>1/(1/H4+1/(N4*B4))</f>
        <v>115.83725317347572</v>
      </c>
      <c r="S4">
        <f>1/(1/I4+1/(O4*B4))</f>
        <v>64.91633178477133</v>
      </c>
    </row>
    <row r="5" spans="1:19">
      <c r="A5" s="2">
        <v>1E-3</v>
      </c>
      <c r="B5" s="1">
        <v>19.370209692327599</v>
      </c>
      <c r="C5" s="1">
        <v>1.6520213517706399</v>
      </c>
      <c r="D5" s="1">
        <v>64.632338149854206</v>
      </c>
      <c r="F5" s="1">
        <v>59.877499999999998</v>
      </c>
      <c r="G5" s="1">
        <v>59.877499999999998</v>
      </c>
      <c r="H5" s="1">
        <v>111.861787472709</v>
      </c>
      <c r="I5" s="1">
        <v>60.330016559030803</v>
      </c>
      <c r="J5" s="1">
        <v>1.0961457892420801</v>
      </c>
      <c r="K5" s="1">
        <v>226.40600329479</v>
      </c>
      <c r="L5" s="1">
        <v>145.825405794674</v>
      </c>
      <c r="M5" s="1">
        <v>1.0979658400379999</v>
      </c>
      <c r="N5" s="1">
        <v>350.49832825002301</v>
      </c>
      <c r="O5" s="1">
        <v>324.30543635229799</v>
      </c>
      <c r="P5">
        <f>B5*M5</f>
        <v>21.267828556548679</v>
      </c>
      <c r="Q5">
        <f>C5/M5</f>
        <v>1.5046199904666109</v>
      </c>
      <c r="R5">
        <f>1/(1/H5+1/(N5*B5))</f>
        <v>110.04858647115645</v>
      </c>
      <c r="S5">
        <f>1/(1/I5+1/(O5*B5))</f>
        <v>59.756128293769628</v>
      </c>
    </row>
    <row r="6" spans="1:19">
      <c r="A6" s="2">
        <v>5.0000000000000001E-4</v>
      </c>
      <c r="B6" s="1">
        <v>16.434691237893801</v>
      </c>
      <c r="C6" s="1">
        <v>1.9471007721895399</v>
      </c>
      <c r="D6" s="1">
        <v>70.661301887190405</v>
      </c>
      <c r="F6" s="1">
        <v>56.665833333333303</v>
      </c>
      <c r="G6" s="1">
        <v>56.665833333333303</v>
      </c>
      <c r="H6" s="1">
        <v>109.346853575566</v>
      </c>
      <c r="I6" s="1">
        <v>57.137693361912802</v>
      </c>
      <c r="J6" s="1">
        <v>1.0651393926070201</v>
      </c>
      <c r="K6" s="1">
        <v>250.30606873872699</v>
      </c>
      <c r="L6" s="1">
        <v>163.65496806332399</v>
      </c>
      <c r="M6" s="1">
        <v>1.06622029471372</v>
      </c>
      <c r="N6" s="1">
        <v>362.77689557456</v>
      </c>
      <c r="O6" s="1">
        <v>367.02841751974</v>
      </c>
      <c r="P6">
        <f>B6*M6</f>
        <v>17.52300133519612</v>
      </c>
      <c r="Q6">
        <f>C6/M6</f>
        <v>1.8261711785483656</v>
      </c>
      <c r="R6">
        <f>1/(1/H6+1/(N6*B6))</f>
        <v>107.37752353829097</v>
      </c>
      <c r="S6">
        <f>1/(1/I6+1/(O6*B6))</f>
        <v>56.601539171490565</v>
      </c>
    </row>
    <row r="7" spans="1:19">
      <c r="A7" s="2">
        <v>1E-4</v>
      </c>
      <c r="B7" s="1">
        <v>11.167913202586099</v>
      </c>
      <c r="C7" s="1">
        <v>2.86535178233563</v>
      </c>
      <c r="D7" s="1">
        <v>85.158021334060905</v>
      </c>
      <c r="F7" s="1">
        <v>49.284999999999997</v>
      </c>
      <c r="G7" s="1">
        <v>49.284999999999997</v>
      </c>
      <c r="H7" s="1">
        <v>103.462956743002</v>
      </c>
      <c r="I7" s="1">
        <v>49.725274843125398</v>
      </c>
      <c r="J7" s="1">
        <v>1.0298025288008199</v>
      </c>
      <c r="K7" s="1">
        <v>277.44414400839401</v>
      </c>
      <c r="L7" s="1">
        <v>197.55402097265201</v>
      </c>
      <c r="M7" s="1">
        <v>1.0301491217076699</v>
      </c>
      <c r="N7" s="1">
        <v>383.03918276550002</v>
      </c>
      <c r="O7" s="1">
        <v>412.05823015381702</v>
      </c>
      <c r="P7">
        <f>B7*M7</f>
        <v>11.504615976951561</v>
      </c>
      <c r="Q7">
        <f>C7/M7</f>
        <v>2.7814922344308362</v>
      </c>
      <c r="R7">
        <f>1/(1/H7+1/(N7*B7))</f>
        <v>101.01966362665911</v>
      </c>
      <c r="S7">
        <f>1/(1/I7+1/(O7*B7))</f>
        <v>49.193710125429661</v>
      </c>
    </row>
    <row r="8" spans="1:19">
      <c r="A8" s="2">
        <v>5.0000000000000002E-5</v>
      </c>
      <c r="B8" s="1">
        <v>9.3639007606973692</v>
      </c>
      <c r="C8" s="1">
        <v>3.4173792330555202</v>
      </c>
      <c r="D8" s="1">
        <v>91.065049096334903</v>
      </c>
      <c r="F8" s="1">
        <v>46.769999999999897</v>
      </c>
      <c r="G8" s="1">
        <v>46.769999999999897</v>
      </c>
      <c r="H8" s="1">
        <v>101.399082785902</v>
      </c>
      <c r="I8" s="1">
        <v>47.204412046883597</v>
      </c>
      <c r="J8" s="1">
        <v>1.0248873709278801</v>
      </c>
      <c r="K8" s="1">
        <v>289.79852218498598</v>
      </c>
      <c r="L8" s="1">
        <v>215.29088067781399</v>
      </c>
      <c r="M8" s="1">
        <v>1.0251490158904399</v>
      </c>
      <c r="N8" s="1">
        <v>390.161362235399</v>
      </c>
      <c r="O8" s="1">
        <v>435.70636118844197</v>
      </c>
      <c r="P8">
        <f>B8*M8</f>
        <v>9.5993936497246501</v>
      </c>
      <c r="Q8">
        <f>C8/M8</f>
        <v>3.3335438849221344</v>
      </c>
      <c r="R8">
        <f>1/(1/H8+1/(N8*B8))</f>
        <v>98.660804283982941</v>
      </c>
      <c r="S8">
        <f>1/(1/I8+1/(O8*B8))</f>
        <v>46.664505544236704</v>
      </c>
    </row>
    <row r="9" spans="1:19">
      <c r="A9" s="2">
        <v>1.0000000000000001E-5</v>
      </c>
      <c r="B9" s="1">
        <v>6.0173386965855196</v>
      </c>
      <c r="C9" s="1">
        <v>5.3179655680937596</v>
      </c>
      <c r="D9" s="1">
        <v>104.82698021349</v>
      </c>
      <c r="F9" s="1">
        <v>43.076666666666597</v>
      </c>
      <c r="G9" s="1">
        <v>43.076666666666597</v>
      </c>
      <c r="H9" s="1">
        <v>95.068505015168995</v>
      </c>
      <c r="I9" s="1">
        <v>43.673410321120897</v>
      </c>
      <c r="J9" s="1">
        <v>1.0196524038949899</v>
      </c>
      <c r="K9" s="1">
        <v>307.64657290901499</v>
      </c>
      <c r="L9" s="1">
        <v>249.959362239586</v>
      </c>
      <c r="M9" s="1">
        <v>1.0196259922023301</v>
      </c>
      <c r="N9" s="1">
        <v>402.30688117792999</v>
      </c>
      <c r="O9" s="1">
        <v>453.330701166464</v>
      </c>
      <c r="P9">
        <f>B9*M9</f>
        <v>6.1354349389234857</v>
      </c>
      <c r="Q9">
        <f>C9/M9</f>
        <v>5.2156041614899182</v>
      </c>
      <c r="R9">
        <f>1/(1/H9+1/(N9*B9))</f>
        <v>91.476123137872705</v>
      </c>
      <c r="S9">
        <f>1/(1/I9+1/(O9*B9))</f>
        <v>42.98520735078808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 s="7" customFormat="1">
      <c r="A13" s="2">
        <v>0.01</v>
      </c>
      <c r="B13" s="1">
        <v>26.195602465394199</v>
      </c>
      <c r="C13" s="1">
        <v>1.22157908153758</v>
      </c>
      <c r="D13" s="1">
        <v>52.2265960016639</v>
      </c>
      <c r="E13" s="1"/>
      <c r="F13" s="1">
        <v>50.726666666666603</v>
      </c>
      <c r="G13" s="1">
        <v>50.726666666666603</v>
      </c>
      <c r="H13" s="1">
        <v>67.737258965958702</v>
      </c>
      <c r="I13" s="1">
        <v>48.995651453065904</v>
      </c>
      <c r="J13" s="1">
        <v>3.0142975657199398</v>
      </c>
      <c r="K13" s="1">
        <v>236.90992777606101</v>
      </c>
      <c r="L13" s="1">
        <v>100.15774693893</v>
      </c>
      <c r="M13" s="1">
        <v>3.0176660804110802</v>
      </c>
      <c r="N13" s="1">
        <v>360.40258879844203</v>
      </c>
      <c r="O13" s="1">
        <v>211.270484742175</v>
      </c>
      <c r="P13">
        <f>B13*M13</f>
        <v>79.049581015752935</v>
      </c>
      <c r="Q13">
        <f>C13/M13</f>
        <v>0.40480922971145</v>
      </c>
      <c r="R13">
        <f>1/(1/H13+1/(N13*B13))</f>
        <v>67.254718118687819</v>
      </c>
      <c r="S13">
        <f>1/(1/I13+1/(O13*B13))</f>
        <v>48.565699461873713</v>
      </c>
    </row>
    <row r="14" spans="1:19">
      <c r="A14" s="2">
        <v>5.0000000000000001E-3</v>
      </c>
      <c r="B14" s="1">
        <v>24.715232065218</v>
      </c>
      <c r="C14" s="1">
        <v>1.2947481098117499</v>
      </c>
      <c r="D14" s="1">
        <v>56.762367537728203</v>
      </c>
      <c r="F14" s="1">
        <v>49.7841666666666</v>
      </c>
      <c r="G14" s="1">
        <v>49.7841666666666</v>
      </c>
      <c r="H14" s="1">
        <v>67.449823597718094</v>
      </c>
      <c r="I14" s="1">
        <v>48.102618899018601</v>
      </c>
      <c r="J14" s="1">
        <v>2.4366021722674298</v>
      </c>
      <c r="K14" s="1">
        <v>239.96312526414599</v>
      </c>
      <c r="L14" s="1">
        <v>105.15234469212</v>
      </c>
      <c r="M14" s="1">
        <v>2.4378218854579901</v>
      </c>
      <c r="N14" s="1">
        <v>351.03847525701298</v>
      </c>
      <c r="O14" s="1">
        <v>212.842698281639</v>
      </c>
      <c r="P14">
        <f>B14*M14</f>
        <v>60.251333632761522</v>
      </c>
      <c r="Q14">
        <f>C14/M14</f>
        <v>0.53110857587059013</v>
      </c>
      <c r="R14">
        <f>1/(1/H14+1/(N14*B14))</f>
        <v>66.929493503931198</v>
      </c>
      <c r="S14">
        <f>1/(1/I14+1/(O14*B14))</f>
        <v>47.666745093331606</v>
      </c>
    </row>
    <row r="15" spans="1:19">
      <c r="A15" s="2">
        <v>1E-3</v>
      </c>
      <c r="B15" s="1">
        <v>19.5627367782241</v>
      </c>
      <c r="C15" s="1">
        <v>1.6357629488538701</v>
      </c>
      <c r="D15" s="1">
        <v>68.4467012965507</v>
      </c>
      <c r="F15" s="1">
        <v>45.975000000000001</v>
      </c>
      <c r="G15" s="1">
        <v>45.975000000000001</v>
      </c>
      <c r="H15" s="1">
        <v>66.408543334271897</v>
      </c>
      <c r="I15" s="1">
        <v>44.539400655703403</v>
      </c>
      <c r="J15" s="1">
        <v>1.5249302437329</v>
      </c>
      <c r="K15" s="1">
        <v>225.81780231655901</v>
      </c>
      <c r="L15" s="1">
        <v>127.462643290553</v>
      </c>
      <c r="M15" s="1">
        <v>1.52688105726666</v>
      </c>
      <c r="N15" s="1">
        <v>343.47056778862299</v>
      </c>
      <c r="O15" s="1">
        <v>240.99552062186001</v>
      </c>
      <c r="P15">
        <f>B15*M15</f>
        <v>29.869972214964186</v>
      </c>
      <c r="Q15">
        <f>C15/M15</f>
        <v>1.0713100022225206</v>
      </c>
      <c r="R15">
        <f>1/(1/H15+1/(N15*B15))</f>
        <v>65.758626852797747</v>
      </c>
      <c r="S15">
        <f>1/(1/I15+1/(O15*B15))</f>
        <v>44.122563405114235</v>
      </c>
    </row>
    <row r="16" spans="1:19">
      <c r="A16" s="2">
        <v>5.0000000000000001E-4</v>
      </c>
      <c r="B16" s="1">
        <v>16.721438926029101</v>
      </c>
      <c r="C16" s="1">
        <v>1.91371090380193</v>
      </c>
      <c r="D16" s="1">
        <v>73.513282743100504</v>
      </c>
      <c r="F16" s="1">
        <v>44.071666666666601</v>
      </c>
      <c r="G16" s="1">
        <v>44.071666666666601</v>
      </c>
      <c r="H16" s="1">
        <v>65.699510964694497</v>
      </c>
      <c r="I16" s="1">
        <v>42.764327311774402</v>
      </c>
      <c r="J16" s="1">
        <v>1.3190568338664199</v>
      </c>
      <c r="K16" s="1">
        <v>238.94927823891101</v>
      </c>
      <c r="L16" s="1">
        <v>141.73398473027501</v>
      </c>
      <c r="M16" s="1">
        <v>1.3193946201509801</v>
      </c>
      <c r="N16" s="1">
        <v>341.13739016032201</v>
      </c>
      <c r="O16" s="1">
        <v>261.95592367446301</v>
      </c>
      <c r="P16">
        <f>B16*M16</f>
        <v>22.062176560185979</v>
      </c>
      <c r="Q16">
        <f>C16/M16</f>
        <v>1.4504461929539636</v>
      </c>
      <c r="R16">
        <f>1/(1/H16+1/(N16*B16))</f>
        <v>64.951431225343796</v>
      </c>
      <c r="S16">
        <f>1/(1/I16+1/(O16*B16))</f>
        <v>42.350859219717357</v>
      </c>
    </row>
    <row r="17" spans="1:19">
      <c r="A17" s="2">
        <v>1E-4</v>
      </c>
      <c r="B17" s="1">
        <v>9.7041372477804497</v>
      </c>
      <c r="C17" s="1">
        <v>3.2975625944819602</v>
      </c>
      <c r="D17" s="1">
        <v>86.167206263756995</v>
      </c>
      <c r="F17" s="1">
        <v>39.9641666666666</v>
      </c>
      <c r="G17" s="1">
        <v>39.9641666666666</v>
      </c>
      <c r="H17" s="1">
        <v>63.819468637322402</v>
      </c>
      <c r="I17" s="1">
        <v>38.969361127415297</v>
      </c>
      <c r="J17" s="1">
        <v>1.08063588913841</v>
      </c>
      <c r="K17" s="1">
        <v>275.94713613604301</v>
      </c>
      <c r="L17" s="1">
        <v>179.19802180685099</v>
      </c>
      <c r="M17" s="1">
        <v>1.08157375795135</v>
      </c>
      <c r="N17" s="1">
        <v>365.02149111153398</v>
      </c>
      <c r="O17" s="1">
        <v>346.678064611553</v>
      </c>
      <c r="P17">
        <f>B17*M17</f>
        <v>10.495740190757573</v>
      </c>
      <c r="Q17">
        <f>C17/M17</f>
        <v>3.0488559566459887</v>
      </c>
      <c r="R17">
        <f>1/(1/H17+1/(N17*B17))</f>
        <v>62.689995113954645</v>
      </c>
      <c r="S17">
        <f>1/(1/I17+1/(O17*B17))</f>
        <v>38.523128276497431</v>
      </c>
    </row>
    <row r="18" spans="1:19">
      <c r="A18" s="2">
        <v>5.0000000000000002E-5</v>
      </c>
      <c r="B18" s="1">
        <v>7.6698576285908198</v>
      </c>
      <c r="C18" s="1">
        <v>4.1721765317669002</v>
      </c>
      <c r="D18" s="1">
        <v>91.733737401899702</v>
      </c>
      <c r="F18" s="1">
        <v>38.6041666666666</v>
      </c>
      <c r="G18" s="1">
        <v>38.6041666666666</v>
      </c>
      <c r="H18" s="1">
        <v>63.220897217924602</v>
      </c>
      <c r="I18" s="1">
        <v>37.713232314455198</v>
      </c>
      <c r="J18" s="1">
        <v>1.0511119580030399</v>
      </c>
      <c r="K18" s="1">
        <v>285.05898131049298</v>
      </c>
      <c r="L18" s="1">
        <v>209.691248920399</v>
      </c>
      <c r="M18" s="1">
        <v>1.05230415839652</v>
      </c>
      <c r="N18" s="1">
        <v>376.69289444866598</v>
      </c>
      <c r="O18" s="1">
        <v>388.881598754447</v>
      </c>
      <c r="P18">
        <f>B18*M18</f>
        <v>8.0710230768753917</v>
      </c>
      <c r="Q18">
        <f>C18/M18</f>
        <v>3.9648009546254945</v>
      </c>
      <c r="R18">
        <f>1/(1/H18+1/(N18*B18))</f>
        <v>61.867124201917001</v>
      </c>
      <c r="S18">
        <f>1/(1/I18+1/(O18*B18))</f>
        <v>37.24233526866913</v>
      </c>
    </row>
    <row r="19" spans="1:19">
      <c r="A19" s="4">
        <v>1.0000000000000001E-5</v>
      </c>
      <c r="B19" s="3">
        <v>4.6071185935293304</v>
      </c>
      <c r="C19" s="3">
        <v>6.9457730141663303</v>
      </c>
      <c r="D19" s="3">
        <v>105.09506711281701</v>
      </c>
      <c r="E19" s="3"/>
      <c r="F19" s="3">
        <v>37.466999999999999</v>
      </c>
      <c r="G19" s="3">
        <v>37.466999999999999</v>
      </c>
      <c r="H19" s="3">
        <v>61.625291466022098</v>
      </c>
      <c r="I19" s="3">
        <v>36.7410259797782</v>
      </c>
      <c r="J19" s="3">
        <v>1.0369874521928799</v>
      </c>
      <c r="K19" s="3">
        <v>312.96736678408098</v>
      </c>
      <c r="L19" s="3">
        <v>259.603236938816</v>
      </c>
      <c r="M19" s="3">
        <v>1.03720127763985</v>
      </c>
      <c r="N19" s="3">
        <v>397.55134906450201</v>
      </c>
      <c r="O19" s="3">
        <v>440.83042906175098</v>
      </c>
      <c r="P19" s="7">
        <f>B19*M19</f>
        <v>4.7785092914469303</v>
      </c>
      <c r="Q19" s="7">
        <f>C19/M19</f>
        <v>6.6966491113194797</v>
      </c>
      <c r="R19" s="7">
        <f>1/(1/H19+1/(N19*B19))</f>
        <v>59.61932612072922</v>
      </c>
      <c r="S19" s="7">
        <f>1/(1/I19+1/(O19*B19))</f>
        <v>36.088173253251746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0.01</v>
      </c>
      <c r="B24" s="1">
        <v>5.8381349094396802</v>
      </c>
      <c r="C24" s="1">
        <v>5.4812025580736599</v>
      </c>
      <c r="D24" s="1">
        <v>44.755279032073403</v>
      </c>
      <c r="F24" s="1">
        <v>78.553562666666593</v>
      </c>
      <c r="G24" s="1">
        <v>84.785415166666596</v>
      </c>
      <c r="H24" s="1">
        <v>104.122611460615</v>
      </c>
      <c r="I24" s="1">
        <v>99.771615511879503</v>
      </c>
      <c r="J24" s="1">
        <v>3.6449899838423301</v>
      </c>
      <c r="K24" s="1">
        <v>290.24820970546898</v>
      </c>
      <c r="L24" s="1">
        <v>298.034702282669</v>
      </c>
      <c r="M24" s="1">
        <v>3.6524181732386301</v>
      </c>
      <c r="N24" s="1">
        <v>376.29498019559901</v>
      </c>
      <c r="O24" s="1">
        <v>385.77400633804899</v>
      </c>
      <c r="P24">
        <f>B24*M24</f>
        <v>21.323310041056352</v>
      </c>
      <c r="Q24">
        <f>C24/M24</f>
        <v>1.500705094020883</v>
      </c>
      <c r="R24">
        <f>1/(1/H24+1/(N24*B24))</f>
        <v>99.410922588769864</v>
      </c>
      <c r="S24">
        <f>1/(1/I24+1/(O24*B24))</f>
        <v>95.539263275643776</v>
      </c>
    </row>
    <row r="25" spans="1:19">
      <c r="A25" s="2">
        <v>5.0000000000000001E-3</v>
      </c>
      <c r="B25" s="1">
        <v>5.0013427651147904</v>
      </c>
      <c r="C25" s="1">
        <v>6.39828172210178</v>
      </c>
      <c r="D25" s="1">
        <v>51.257340018505701</v>
      </c>
      <c r="F25" s="1">
        <v>79.143709666666595</v>
      </c>
      <c r="G25" s="1">
        <v>84.030218500000004</v>
      </c>
      <c r="H25" s="1">
        <v>95.202812085027404</v>
      </c>
      <c r="I25" s="1">
        <v>94.060173748667196</v>
      </c>
      <c r="J25" s="1">
        <v>3.0461844045047801</v>
      </c>
      <c r="K25" s="1">
        <v>296.20971957885899</v>
      </c>
      <c r="L25" s="1">
        <v>279.80923815747502</v>
      </c>
      <c r="M25" s="1">
        <v>3.0520257066591898</v>
      </c>
      <c r="N25" s="1">
        <v>369.808649979336</v>
      </c>
      <c r="O25" s="1">
        <v>354.213367834954</v>
      </c>
      <c r="P25">
        <f>B25*M25</f>
        <v>15.264226686944294</v>
      </c>
      <c r="Q25">
        <f>C25/M25</f>
        <v>2.0964049248148275</v>
      </c>
      <c r="R25">
        <f>1/(1/H25+1/(N25*B25))</f>
        <v>90.54225942486174</v>
      </c>
      <c r="S25">
        <f>1/(1/I25+1/(O25*B25))</f>
        <v>89.317836820048399</v>
      </c>
    </row>
    <row r="26" spans="1:19">
      <c r="A26" s="2">
        <v>1E-3</v>
      </c>
      <c r="B26" s="1">
        <v>3.7041773533555298</v>
      </c>
      <c r="C26" s="1">
        <v>8.63889521137855</v>
      </c>
      <c r="D26" s="1">
        <v>64.632337273049203</v>
      </c>
      <c r="F26" s="1">
        <v>68.049943166666594</v>
      </c>
      <c r="G26" s="1">
        <v>77.764430250000004</v>
      </c>
      <c r="H26" s="1">
        <v>76.765990842951794</v>
      </c>
      <c r="I26" s="1">
        <v>86.347550216030001</v>
      </c>
      <c r="J26" s="1">
        <v>2.1360236503304999</v>
      </c>
      <c r="K26" s="1">
        <v>289.63351017388698</v>
      </c>
      <c r="L26" s="1">
        <v>229.45167190414</v>
      </c>
      <c r="M26" s="1">
        <v>2.1385078096807102</v>
      </c>
      <c r="N26" s="1">
        <v>351.28427857024502</v>
      </c>
      <c r="O26" s="1">
        <v>278.808920453003</v>
      </c>
      <c r="P26">
        <f>B26*M26</f>
        <v>7.9214121985932238</v>
      </c>
      <c r="Q26">
        <f>C26/M26</f>
        <v>4.039683732868097</v>
      </c>
      <c r="R26">
        <f>1/(1/H26+1/(N26*B26))</f>
        <v>72.489444844471208</v>
      </c>
      <c r="S26">
        <f>1/(1/I26+1/(O26*B26))</f>
        <v>79.685174626435725</v>
      </c>
    </row>
    <row r="27" spans="1:19">
      <c r="A27" s="2">
        <v>5.0000000000000001E-4</v>
      </c>
      <c r="B27" s="1">
        <v>3.3293220761676401</v>
      </c>
      <c r="C27" s="1">
        <v>9.6115663393055897</v>
      </c>
      <c r="D27" s="1">
        <v>70.661302692982702</v>
      </c>
      <c r="F27" s="1">
        <v>63.590742583333302</v>
      </c>
      <c r="G27" s="1">
        <v>73.324222750000004</v>
      </c>
      <c r="H27" s="1">
        <v>70.795456785990694</v>
      </c>
      <c r="I27" s="1">
        <v>84.423431333047901</v>
      </c>
      <c r="J27" s="1">
        <v>1.89838595931927</v>
      </c>
      <c r="K27" s="1">
        <v>288.83654520029899</v>
      </c>
      <c r="L27" s="1">
        <v>215.349985963243</v>
      </c>
      <c r="M27" s="1">
        <v>1.89986876293072</v>
      </c>
      <c r="N27" s="1">
        <v>347.45076216470301</v>
      </c>
      <c r="O27" s="1">
        <v>258.20709994169999</v>
      </c>
      <c r="P27">
        <f>B27*M27</f>
        <v>6.325275014246551</v>
      </c>
      <c r="Q27">
        <f>C27/M27</f>
        <v>5.0590685666513489</v>
      </c>
      <c r="R27">
        <f>1/(1/H27+1/(N27*B27))</f>
        <v>66.712599739725562</v>
      </c>
      <c r="S27">
        <f>1/(1/I27+1/(O27*B27))</f>
        <v>76.873932736375082</v>
      </c>
    </row>
    <row r="28" spans="1:19">
      <c r="A28" s="2">
        <v>1E-4</v>
      </c>
      <c r="B28" s="1">
        <v>2.70368981979012</v>
      </c>
      <c r="C28" s="1">
        <v>11.835677216288</v>
      </c>
      <c r="D28" s="1">
        <v>85.158397381075304</v>
      </c>
      <c r="F28" s="1">
        <v>55.076750166666599</v>
      </c>
      <c r="G28" s="1">
        <v>73.039051499999999</v>
      </c>
      <c r="H28" s="1">
        <v>60.0790545568765</v>
      </c>
      <c r="I28" s="1">
        <v>79.386010007167997</v>
      </c>
      <c r="J28" s="1">
        <v>1.59147238210979</v>
      </c>
      <c r="K28" s="1">
        <v>292.31029805322203</v>
      </c>
      <c r="L28" s="1">
        <v>201.94855241758501</v>
      </c>
      <c r="M28" s="1">
        <v>1.5920267748421699</v>
      </c>
      <c r="N28" s="1">
        <v>347.98633363430201</v>
      </c>
      <c r="O28" s="1">
        <v>242.32507740013699</v>
      </c>
      <c r="P28">
        <f>B28*M28</f>
        <v>4.3043465839740724</v>
      </c>
      <c r="Q28">
        <f>C28/M28</f>
        <v>7.4343455796849662</v>
      </c>
      <c r="R28">
        <f>1/(1/H28+1/(N28*B28))</f>
        <v>56.472901643052843</v>
      </c>
      <c r="S28">
        <f>1/(1/I28+1/(O28*B28))</f>
        <v>70.806510729860904</v>
      </c>
    </row>
    <row r="29" spans="1:19">
      <c r="A29" s="2">
        <v>5.0000000000000002E-5</v>
      </c>
      <c r="B29" s="1">
        <v>2.49382847149736</v>
      </c>
      <c r="C29" s="1">
        <v>12.8316764227117</v>
      </c>
      <c r="D29" s="1">
        <v>91.066333779008502</v>
      </c>
      <c r="F29" s="1">
        <v>51.773861750000002</v>
      </c>
      <c r="G29" s="1">
        <v>71.619276583333303</v>
      </c>
      <c r="H29" s="1">
        <v>56.002507751679701</v>
      </c>
      <c r="I29" s="1">
        <v>77.610061393058999</v>
      </c>
      <c r="J29" s="1">
        <v>1.52506797658382</v>
      </c>
      <c r="K29" s="1">
        <v>295.67852058189902</v>
      </c>
      <c r="L29" s="1">
        <v>203.02312532099799</v>
      </c>
      <c r="M29" s="1">
        <v>1.52609790616804</v>
      </c>
      <c r="N29" s="1">
        <v>351.40218304545903</v>
      </c>
      <c r="O29" s="1">
        <v>244.428003374627</v>
      </c>
      <c r="P29">
        <f>B29*M29</f>
        <v>3.8058264086943647</v>
      </c>
      <c r="Q29">
        <f>C29/M29</f>
        <v>8.4081606893305008</v>
      </c>
      <c r="R29">
        <f>1/(1/H29+1/(N29*B29))</f>
        <v>52.63862407478527</v>
      </c>
      <c r="S29">
        <f>1/(1/I29+1/(O29*B29))</f>
        <v>68.844678998453986</v>
      </c>
    </row>
    <row r="30" spans="1:19">
      <c r="A30" s="2">
        <v>1.0000000000000001E-5</v>
      </c>
      <c r="B30" s="1">
        <v>2.1046369451837199</v>
      </c>
      <c r="C30" s="1">
        <v>15.204522601025801</v>
      </c>
      <c r="D30" s="1">
        <v>104.829350144057</v>
      </c>
      <c r="F30" s="1">
        <v>43.237882583333302</v>
      </c>
      <c r="G30" s="1">
        <v>68.402396083333301</v>
      </c>
      <c r="H30" s="1">
        <v>47.931707881547297</v>
      </c>
      <c r="I30" s="1">
        <v>74.417968461367707</v>
      </c>
      <c r="J30" s="1">
        <v>1.4350398399495099</v>
      </c>
      <c r="K30" s="1">
        <v>302.11202419457197</v>
      </c>
      <c r="L30" s="1">
        <v>208.23163084470701</v>
      </c>
      <c r="M30" s="1">
        <v>1.43631519068978</v>
      </c>
      <c r="N30" s="1">
        <v>357.40369911324802</v>
      </c>
      <c r="O30" s="1">
        <v>251.09240405356201</v>
      </c>
      <c r="P30">
        <f>B30*M30</f>
        <v>3.0229220152543106</v>
      </c>
      <c r="Q30">
        <f>C30/M30</f>
        <v>10.58578416463307</v>
      </c>
      <c r="R30">
        <f>1/(1/H30+1/(N30*B30))</f>
        <v>45.060387876965237</v>
      </c>
      <c r="S30">
        <f>1/(1/I30+1/(O30*B30))</f>
        <v>65.23194828068813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0.01</v>
      </c>
      <c r="B35" s="1">
        <v>3.1678480794813302</v>
      </c>
      <c r="C35" s="1">
        <v>10.101494515241701</v>
      </c>
      <c r="D35" s="1">
        <v>77.144337469663498</v>
      </c>
      <c r="H35" s="1">
        <v>180.05402548383699</v>
      </c>
      <c r="I35" s="1">
        <v>177.65774216427201</v>
      </c>
      <c r="J35" s="1">
        <v>1.01590891365679</v>
      </c>
      <c r="K35" s="1">
        <v>274.19375172794003</v>
      </c>
      <c r="L35" s="1">
        <v>216.62091061126901</v>
      </c>
      <c r="M35" s="1">
        <v>1.0163747915760899</v>
      </c>
      <c r="N35" s="1">
        <v>331.92502046743903</v>
      </c>
      <c r="O35" s="1">
        <v>338.268143576341</v>
      </c>
      <c r="P35">
        <f>B35*M35</f>
        <v>3.2197209315275535</v>
      </c>
      <c r="Q35">
        <f>C35/M35</f>
        <v>9.9387495626267324</v>
      </c>
      <c r="R35">
        <f>1/(1/H35+1/(N35*B35))</f>
        <v>153.72975038363069</v>
      </c>
      <c r="S35">
        <f>1/(1/I35+1/(O35*B35))</f>
        <v>152.39255883910812</v>
      </c>
    </row>
    <row r="36" spans="1:19">
      <c r="A36" s="4">
        <v>5.0000000000000001E-3</v>
      </c>
      <c r="B36" s="1">
        <v>2.86715846201355</v>
      </c>
      <c r="C36" s="1">
        <v>11.160875976672299</v>
      </c>
      <c r="D36" s="1">
        <v>84.495190699521501</v>
      </c>
      <c r="H36" s="1">
        <v>175.07643691679399</v>
      </c>
      <c r="I36" s="1">
        <v>164.57806031165899</v>
      </c>
      <c r="J36" s="1">
        <v>1.01436744894396</v>
      </c>
      <c r="K36" s="1">
        <v>290.292475739689</v>
      </c>
      <c r="L36" s="1">
        <v>256.91854575796799</v>
      </c>
      <c r="M36" s="1">
        <v>1.01552318088194</v>
      </c>
      <c r="N36" s="1">
        <v>354.49225495771702</v>
      </c>
      <c r="O36" s="1">
        <v>396.51988189849902</v>
      </c>
      <c r="P36">
        <f>B36*M36</f>
        <v>2.9116658814365715</v>
      </c>
      <c r="Q36">
        <f>C36/M36</f>
        <v>10.990271996528467</v>
      </c>
      <c r="R36">
        <f>1/(1/H36+1/(N36*B36))</f>
        <v>149.35026084384955</v>
      </c>
      <c r="S36">
        <f>1/(1/I36+1/(O36*B36))</f>
        <v>143.76615116469947</v>
      </c>
    </row>
    <row r="37" spans="1:19">
      <c r="A37" s="4">
        <v>1E-3</v>
      </c>
      <c r="B37" s="1">
        <v>2.42982016785218</v>
      </c>
      <c r="C37" s="1">
        <v>13.1696989033909</v>
      </c>
      <c r="D37" s="1">
        <v>98.183197470766501</v>
      </c>
      <c r="H37" s="1">
        <v>171.49542238933299</v>
      </c>
      <c r="I37" s="1">
        <v>154.42427041613601</v>
      </c>
      <c r="J37" s="1">
        <v>1.0120381967530601</v>
      </c>
      <c r="K37" s="1">
        <v>317.45369942727001</v>
      </c>
      <c r="L37" s="1">
        <v>342.13916758886103</v>
      </c>
      <c r="M37" s="1">
        <v>1.01141136670191</v>
      </c>
      <c r="N37" s="1">
        <v>388.76780752925703</v>
      </c>
      <c r="O37" s="1">
        <v>490.82006169780101</v>
      </c>
      <c r="P37">
        <f>B37*M37</f>
        <v>2.4575477368072378</v>
      </c>
      <c r="Q37">
        <f>C37/M37</f>
        <v>13.021110239581045</v>
      </c>
      <c r="R37">
        <f>1/(1/H37+1/(N37*B37))</f>
        <v>145.14486633757372</v>
      </c>
      <c r="S37">
        <f>1/(1/I37+1/(O37*B37))</f>
        <v>136.72096957494202</v>
      </c>
    </row>
    <row r="38" spans="1:19">
      <c r="A38" s="4">
        <v>5.0000000000000001E-4</v>
      </c>
      <c r="B38" s="1">
        <v>2.2681998530013501</v>
      </c>
      <c r="C38" s="1">
        <v>14.108104256181999</v>
      </c>
      <c r="D38" s="1" t="e">
        <f>-inf</f>
        <v>#NAME?</v>
      </c>
      <c r="H38" s="1">
        <v>170.83672684747299</v>
      </c>
      <c r="I38" s="1">
        <v>155.369417459179</v>
      </c>
      <c r="J38" s="1">
        <v>1.01140630969187</v>
      </c>
      <c r="K38" s="1">
        <v>319.56692173341702</v>
      </c>
      <c r="L38" s="1">
        <v>351.76365366630398</v>
      </c>
      <c r="M38" s="1">
        <v>1.0106313270104601</v>
      </c>
      <c r="N38" s="1">
        <v>390.49660753244802</v>
      </c>
      <c r="O38" s="1">
        <v>497.61772009703202</v>
      </c>
      <c r="P38">
        <f>B38*M38</f>
        <v>2.2923138273636852</v>
      </c>
      <c r="Q38">
        <f>C38/M38</f>
        <v>13.959694182363277</v>
      </c>
      <c r="R38">
        <f>1/(1/H38+1/(N38*B38))</f>
        <v>143.21391550206792</v>
      </c>
      <c r="S38">
        <f>1/(1/I38+1/(O38*B38))</f>
        <v>136.57002664182551</v>
      </c>
    </row>
    <row r="39" spans="1:19">
      <c r="A39" s="4">
        <v>1E-4</v>
      </c>
      <c r="B39" s="1">
        <v>1.8912675002386501</v>
      </c>
      <c r="C39" s="1">
        <v>16.919869873490601</v>
      </c>
      <c r="H39" s="1">
        <v>169.43622552756099</v>
      </c>
      <c r="I39" s="1">
        <v>144.95567893198299</v>
      </c>
      <c r="J39" s="1">
        <v>1.03378647329464</v>
      </c>
      <c r="K39" s="1">
        <v>346.06020653282297</v>
      </c>
      <c r="L39" s="1">
        <v>435.06717533989303</v>
      </c>
      <c r="M39" s="1">
        <v>1.0325227738976701</v>
      </c>
      <c r="N39" s="1">
        <v>421.20519678556099</v>
      </c>
      <c r="O39" s="1">
        <v>575.28643466345795</v>
      </c>
      <c r="P39">
        <f>B39*M39</f>
        <v>1.9527767655289234</v>
      </c>
      <c r="Q39">
        <f>C39/M39</f>
        <v>16.386921723401592</v>
      </c>
      <c r="R39">
        <f>1/(1/H39+1/(N39*B39))</f>
        <v>139.71861652087074</v>
      </c>
      <c r="S39">
        <f>1/(1/I39+1/(O39*B39))</f>
        <v>127.91386694924412</v>
      </c>
    </row>
    <row r="40" spans="1:19">
      <c r="A40" s="4">
        <v>5.0000000000000002E-5</v>
      </c>
      <c r="B40" s="1">
        <v>1.92188501325003</v>
      </c>
      <c r="C40" s="1">
        <v>16.650319753462099</v>
      </c>
      <c r="H40" s="1">
        <v>168.88193310797999</v>
      </c>
      <c r="I40" s="1">
        <v>140.89025767203299</v>
      </c>
      <c r="J40" s="1">
        <v>1.0066046972563001</v>
      </c>
      <c r="K40" s="1">
        <v>344.00151788052898</v>
      </c>
      <c r="L40" s="1">
        <v>440.04155264243002</v>
      </c>
      <c r="M40" s="1">
        <v>1.0053238686779</v>
      </c>
      <c r="N40" s="1">
        <v>423.76545229823301</v>
      </c>
      <c r="O40" s="1">
        <v>588.97593138681702</v>
      </c>
      <c r="P40">
        <f>B40*M40</f>
        <v>1.9321168766745973</v>
      </c>
      <c r="Q40">
        <f>C40/M40</f>
        <v>16.56214506809523</v>
      </c>
      <c r="R40">
        <f>1/(1/H40+1/(N40*B40))</f>
        <v>139.87674086666632</v>
      </c>
      <c r="S40">
        <f>1/(1/I40+1/(O40*B40))</f>
        <v>125.29508937542003</v>
      </c>
    </row>
    <row r="41" spans="1:19">
      <c r="A41" s="4">
        <v>1.0000000000000001E-5</v>
      </c>
      <c r="B41" s="1">
        <v>1.73344241659385</v>
      </c>
      <c r="C41" s="1">
        <v>18.460376701107101</v>
      </c>
      <c r="H41" s="1">
        <v>166.811931365324</v>
      </c>
      <c r="I41" s="1">
        <v>138.032671445387</v>
      </c>
      <c r="J41" s="1">
        <v>1.0059973182465001</v>
      </c>
      <c r="K41" s="1">
        <v>353.06929522571102</v>
      </c>
      <c r="L41" s="1">
        <v>491.32374509175202</v>
      </c>
      <c r="M41" s="1">
        <v>1.0053238686779</v>
      </c>
      <c r="N41" s="1">
        <v>431.968815377542</v>
      </c>
      <c r="O41" s="1">
        <v>611.17119344829598</v>
      </c>
      <c r="P41">
        <f>B41*M41</f>
        <v>1.7426710363804974</v>
      </c>
      <c r="Q41">
        <f>C41/M41</f>
        <v>18.362616542054568</v>
      </c>
      <c r="R41">
        <f>1/(1/H41+1/(N41*B41))</f>
        <v>136.42085607763363</v>
      </c>
      <c r="S41">
        <f>1/(1/I41+1/(O41*B41))</f>
        <v>122.12151386312944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62.719999999999899</v>
      </c>
      <c r="C46" s="1">
        <v>0.5</v>
      </c>
      <c r="D46" s="1">
        <v>26.455392710882801</v>
      </c>
      <c r="H46" s="1">
        <v>515.58701693082696</v>
      </c>
      <c r="I46" s="1">
        <v>561.14911584556205</v>
      </c>
      <c r="J46" s="1">
        <v>2.2822097352958699</v>
      </c>
      <c r="K46" s="1">
        <v>147.26048636248399</v>
      </c>
      <c r="L46" s="1">
        <v>60.9542307250737</v>
      </c>
      <c r="M46" s="1">
        <v>2.2844264524367199</v>
      </c>
      <c r="N46" s="1">
        <v>272.923336062153</v>
      </c>
      <c r="O46" s="1">
        <v>165.89337871299301</v>
      </c>
      <c r="P46">
        <f>B46*M46</f>
        <v>143.27922709683085</v>
      </c>
      <c r="Q46">
        <f>C46/M46</f>
        <v>0.2188733191504883</v>
      </c>
      <c r="R46">
        <f>1/(1/H46+1/(N46*B46))</f>
        <v>500.51159773583328</v>
      </c>
      <c r="S46">
        <f>1/(1/I46+1/(O46*B46))</f>
        <v>532.43410107238117</v>
      </c>
    </row>
    <row r="47" spans="1:19">
      <c r="A47" s="2">
        <v>1</v>
      </c>
      <c r="B47" s="1">
        <v>31.3599999999999</v>
      </c>
      <c r="C47" s="1">
        <v>1</v>
      </c>
      <c r="D47" s="1">
        <v>32.794950183251302</v>
      </c>
      <c r="H47" s="1">
        <v>330.42069112119401</v>
      </c>
      <c r="I47" s="1">
        <v>359.306585809122</v>
      </c>
      <c r="J47" s="1">
        <v>1.4890070184600901</v>
      </c>
      <c r="K47" s="1">
        <v>215.079101409972</v>
      </c>
      <c r="L47" s="1">
        <v>98.192298634316998</v>
      </c>
      <c r="M47" s="1">
        <v>1.4905104004556899</v>
      </c>
      <c r="N47" s="1">
        <v>307.092971674924</v>
      </c>
      <c r="O47" s="1">
        <v>196.54026654838799</v>
      </c>
      <c r="P47">
        <f t="shared" ref="P47:P53" si="0">B47*M47</f>
        <v>46.742406158290287</v>
      </c>
      <c r="Q47">
        <f t="shared" ref="Q47:Q53" si="1">C47/M47</f>
        <v>0.67091111856332741</v>
      </c>
      <c r="R47">
        <f t="shared" ref="R47:R53" si="2">1/(1/H47+1/(N47*B47))</f>
        <v>319.46000360389507</v>
      </c>
      <c r="S47">
        <f t="shared" ref="S47:S53" si="3">1/(1/I47+1/(O47*B47))</f>
        <v>339.51431291226203</v>
      </c>
    </row>
    <row r="48" spans="1:19">
      <c r="A48" s="2">
        <v>2</v>
      </c>
      <c r="B48" s="1">
        <v>15.6799999999999</v>
      </c>
      <c r="C48" s="1">
        <v>2</v>
      </c>
      <c r="D48" s="1">
        <v>37.954945150055799</v>
      </c>
      <c r="H48" s="1">
        <v>217.45320900240401</v>
      </c>
      <c r="I48" s="1">
        <v>245.124679214358</v>
      </c>
      <c r="J48" s="1">
        <v>1.0252330969646699</v>
      </c>
      <c r="K48" s="1">
        <v>235.697217388377</v>
      </c>
      <c r="L48" s="1">
        <v>157.68976400554499</v>
      </c>
      <c r="M48" s="1">
        <v>1.0263401455201899</v>
      </c>
      <c r="N48" s="1">
        <v>331.47343865702902</v>
      </c>
      <c r="O48" s="1">
        <v>350.42016252302898</v>
      </c>
      <c r="P48">
        <f t="shared" si="0"/>
        <v>16.093013481756476</v>
      </c>
      <c r="Q48">
        <f t="shared" si="1"/>
        <v>1.9486717037520935</v>
      </c>
      <c r="R48">
        <f t="shared" si="2"/>
        <v>208.72074806353737</v>
      </c>
      <c r="S48">
        <f t="shared" si="3"/>
        <v>234.65619234664069</v>
      </c>
    </row>
    <row r="49" spans="1:19">
      <c r="A49" s="2">
        <v>4</v>
      </c>
      <c r="B49" s="1">
        <v>7.8399999999999901</v>
      </c>
      <c r="C49" s="1">
        <v>4</v>
      </c>
      <c r="D49" s="1">
        <v>48.6323121826237</v>
      </c>
      <c r="H49" s="1">
        <v>112.550055739942</v>
      </c>
      <c r="I49" s="1">
        <v>168.374414848421</v>
      </c>
      <c r="J49" s="1">
        <v>1.0396225333712099</v>
      </c>
      <c r="K49" s="1">
        <v>295.09278667442999</v>
      </c>
      <c r="L49" s="1">
        <v>259.07791042793599</v>
      </c>
      <c r="M49" s="1">
        <v>1.0405295315682199</v>
      </c>
      <c r="N49" s="1">
        <v>386.47891303940798</v>
      </c>
      <c r="O49" s="1">
        <v>456.97859219566601</v>
      </c>
      <c r="P49">
        <f t="shared" si="0"/>
        <v>8.1577515274948347</v>
      </c>
      <c r="Q49">
        <f t="shared" si="1"/>
        <v>3.8441965159522713</v>
      </c>
      <c r="R49">
        <f t="shared" si="2"/>
        <v>108.51908208023994</v>
      </c>
      <c r="S49">
        <f t="shared" si="3"/>
        <v>160.81661979661629</v>
      </c>
    </row>
    <row r="50" spans="1:19">
      <c r="A50" s="2">
        <v>6</v>
      </c>
      <c r="B50" s="1">
        <v>5.2266666666666604</v>
      </c>
      <c r="C50" s="1">
        <v>6</v>
      </c>
      <c r="D50" s="1">
        <v>60.370771836119502</v>
      </c>
      <c r="H50" s="1">
        <v>94.8975336151627</v>
      </c>
      <c r="I50" s="1">
        <v>148.714926961656</v>
      </c>
      <c r="J50" s="1">
        <v>1.05861081700968</v>
      </c>
      <c r="K50" s="1">
        <v>312.54413192744897</v>
      </c>
      <c r="L50" s="1">
        <v>305.37478232082299</v>
      </c>
      <c r="M50" s="1">
        <v>1.0588179928624599</v>
      </c>
      <c r="N50" s="1">
        <v>401.59950840721098</v>
      </c>
      <c r="O50" s="1">
        <v>500.72799195266998</v>
      </c>
      <c r="P50">
        <f t="shared" si="0"/>
        <v>5.5340887093611171</v>
      </c>
      <c r="Q50">
        <f t="shared" si="1"/>
        <v>5.6666962976132558</v>
      </c>
      <c r="R50">
        <f t="shared" si="2"/>
        <v>90.79276942787078</v>
      </c>
      <c r="S50">
        <f t="shared" si="3"/>
        <v>140.71879424977098</v>
      </c>
    </row>
    <row r="51" spans="1:19">
      <c r="A51" s="2">
        <v>8</v>
      </c>
      <c r="B51" s="1">
        <v>3.9199999999999902</v>
      </c>
      <c r="C51" s="1">
        <v>8</v>
      </c>
      <c r="D51" s="1">
        <v>72.158769544711305</v>
      </c>
      <c r="H51" s="1">
        <v>86.814681567365696</v>
      </c>
      <c r="I51" s="1">
        <v>139.69136595687701</v>
      </c>
      <c r="J51" s="1">
        <v>1.0683443151860199</v>
      </c>
      <c r="K51" s="1">
        <v>325.10379474123403</v>
      </c>
      <c r="L51" s="1">
        <v>337.50443922960102</v>
      </c>
      <c r="M51" s="1">
        <v>1.06884806222341</v>
      </c>
      <c r="N51" s="1">
        <v>409.29325011514601</v>
      </c>
      <c r="O51" s="1">
        <v>525.98293289550702</v>
      </c>
      <c r="P51">
        <f t="shared" si="0"/>
        <v>4.189884403915757</v>
      </c>
      <c r="Q51">
        <f t="shared" si="1"/>
        <v>7.4846933654522028</v>
      </c>
      <c r="R51">
        <f t="shared" si="2"/>
        <v>82.358324030399856</v>
      </c>
      <c r="S51">
        <f t="shared" si="3"/>
        <v>130.82773496887086</v>
      </c>
    </row>
    <row r="52" spans="1:19">
      <c r="A52" s="2">
        <v>12</v>
      </c>
      <c r="B52" s="1">
        <v>2.6133333333333302</v>
      </c>
      <c r="C52" s="1">
        <v>12</v>
      </c>
      <c r="D52" s="1">
        <v>96.018065923753397</v>
      </c>
      <c r="H52" s="1">
        <v>78.135976754714093</v>
      </c>
      <c r="I52" s="1">
        <v>128.952645496738</v>
      </c>
      <c r="J52" s="1">
        <v>1.07852661628361</v>
      </c>
      <c r="K52" s="1">
        <v>335.92419286184298</v>
      </c>
      <c r="L52" s="1">
        <v>379.19249598103602</v>
      </c>
      <c r="M52" s="1">
        <v>1.08039594887963</v>
      </c>
      <c r="N52" s="1">
        <v>419.17112419071202</v>
      </c>
      <c r="O52" s="1">
        <v>546.55981123300796</v>
      </c>
      <c r="P52">
        <f t="shared" si="0"/>
        <v>2.8234347464054297</v>
      </c>
      <c r="Q52">
        <f t="shared" si="1"/>
        <v>11.10703905586095</v>
      </c>
      <c r="R52">
        <f t="shared" si="2"/>
        <v>72.93370364420629</v>
      </c>
      <c r="S52">
        <f t="shared" si="3"/>
        <v>118.27465695088813</v>
      </c>
    </row>
    <row r="53" spans="1:19">
      <c r="A53" s="2">
        <v>16</v>
      </c>
      <c r="B53" s="1">
        <v>1.95999999999999</v>
      </c>
      <c r="C53" s="1">
        <v>16</v>
      </c>
      <c r="D53" s="1">
        <v>120.09196931531601</v>
      </c>
      <c r="H53" s="1">
        <v>86.772434753131094</v>
      </c>
      <c r="I53" s="1">
        <v>123.269944437546</v>
      </c>
      <c r="J53" s="1">
        <v>1.0878435074186801</v>
      </c>
      <c r="K53" s="1">
        <v>332.16288452298602</v>
      </c>
      <c r="L53" s="1">
        <v>377.338772518984</v>
      </c>
      <c r="M53" s="1">
        <v>1.0883476938987799</v>
      </c>
      <c r="N53" s="1">
        <v>407.62726812578097</v>
      </c>
      <c r="O53" s="1">
        <v>526.30771121009798</v>
      </c>
      <c r="P53">
        <f t="shared" si="0"/>
        <v>2.1331614800415979</v>
      </c>
      <c r="Q53">
        <f t="shared" si="1"/>
        <v>14.701184271988778</v>
      </c>
      <c r="R53">
        <f t="shared" si="2"/>
        <v>78.271509574892249</v>
      </c>
      <c r="S53">
        <f t="shared" si="3"/>
        <v>110.11178353196375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0.01</v>
      </c>
      <c r="B58" s="1">
        <v>17.3684388917127</v>
      </c>
      <c r="C58" s="1">
        <v>1.8424223500748</v>
      </c>
      <c r="D58" s="1">
        <v>43.264169039582796</v>
      </c>
      <c r="F58" s="1">
        <v>152.005083333333</v>
      </c>
      <c r="G58" s="1">
        <v>121.25666666666601</v>
      </c>
      <c r="H58" s="1">
        <v>156.78829467809399</v>
      </c>
      <c r="I58" s="1">
        <v>122.23772582155701</v>
      </c>
      <c r="J58" s="1">
        <v>1.8704423425902501</v>
      </c>
      <c r="K58" s="1">
        <v>237.526828192658</v>
      </c>
      <c r="L58" s="1">
        <v>143.51743117329599</v>
      </c>
      <c r="M58" s="1">
        <v>1.87288297221359</v>
      </c>
      <c r="N58" s="1">
        <v>315.816788877649</v>
      </c>
      <c r="O58" s="1">
        <v>213.918694859597</v>
      </c>
      <c r="P58">
        <f>B58*M58</f>
        <v>32.529053454220993</v>
      </c>
      <c r="Q58">
        <f>C58/M58</f>
        <v>0.98373597144578229</v>
      </c>
      <c r="R58">
        <f>1/(1/H58+1/(N58*B58))</f>
        <v>152.43125355248137</v>
      </c>
      <c r="S58">
        <f>1/(1/I58+1/(O58*B58))</f>
        <v>118.34420299307955</v>
      </c>
    </row>
    <row r="59" spans="1:19">
      <c r="A59" s="2">
        <v>5.0000000000000001E-3</v>
      </c>
      <c r="B59" s="1">
        <v>14.2881111486601</v>
      </c>
      <c r="C59" s="1">
        <v>2.2396242349360902</v>
      </c>
      <c r="D59" s="1">
        <v>49.288976598791201</v>
      </c>
      <c r="F59" s="1">
        <v>147.22469166666599</v>
      </c>
      <c r="G59" s="1">
        <v>120.875333333333</v>
      </c>
      <c r="H59" s="1">
        <v>156.64247971194001</v>
      </c>
      <c r="I59" s="1">
        <v>121.83696745514099</v>
      </c>
      <c r="J59" s="1">
        <v>1.6848919861531699</v>
      </c>
      <c r="K59" s="1">
        <v>246.03547027595599</v>
      </c>
      <c r="L59" s="1">
        <v>153.346241730472</v>
      </c>
      <c r="M59" s="1">
        <v>1.68560038194984</v>
      </c>
      <c r="N59" s="1">
        <v>316.787162829713</v>
      </c>
      <c r="O59" s="1">
        <v>213.17875001306999</v>
      </c>
      <c r="P59">
        <f>B59*M59</f>
        <v>24.08404560952323</v>
      </c>
      <c r="Q59">
        <f>C59/M59</f>
        <v>1.3286804268194197</v>
      </c>
      <c r="R59">
        <f>1/(1/H59+1/(N59*B59))</f>
        <v>151.40284289345831</v>
      </c>
      <c r="S59">
        <f>1/(1/I59+1/(O59*B59))</f>
        <v>117.15092652985251</v>
      </c>
    </row>
    <row r="60" spans="1:19">
      <c r="A60" s="2">
        <v>1E-3</v>
      </c>
      <c r="B60" s="1">
        <v>10.286318275571601</v>
      </c>
      <c r="C60" s="1">
        <v>3.1109284335479699</v>
      </c>
      <c r="D60" s="1">
        <v>63.265952828353001</v>
      </c>
      <c r="F60" s="1">
        <v>151.69083333333299</v>
      </c>
      <c r="G60" s="1">
        <v>120.550833333333</v>
      </c>
      <c r="H60" s="1">
        <v>156.430574857316</v>
      </c>
      <c r="I60" s="1">
        <v>121.51308320138099</v>
      </c>
      <c r="J60" s="1">
        <v>1.39526100731531</v>
      </c>
      <c r="K60" s="1">
        <v>259.74810283315799</v>
      </c>
      <c r="L60" s="1">
        <v>159.21147022083599</v>
      </c>
      <c r="M60" s="1">
        <v>1.39670540031519</v>
      </c>
      <c r="N60" s="1">
        <v>325.80457603233901</v>
      </c>
      <c r="O60" s="1">
        <v>216.97420871686899</v>
      </c>
      <c r="P60">
        <f>B60*M60</f>
        <v>14.366956284851687</v>
      </c>
      <c r="Q60">
        <f>C60/M60</f>
        <v>2.2273332893578965</v>
      </c>
      <c r="R60">
        <f>1/(1/H60+1/(N60*B60))</f>
        <v>149.45446367052472</v>
      </c>
      <c r="S60">
        <f>1/(1/I60+1/(O60*B60))</f>
        <v>115.23894277612303</v>
      </c>
    </row>
    <row r="61" spans="1:19">
      <c r="A61" s="2">
        <v>5.0000000000000001E-4</v>
      </c>
      <c r="B61" s="1">
        <v>9.1799211274690098</v>
      </c>
      <c r="C61" s="1">
        <v>3.4858687297700799</v>
      </c>
      <c r="D61" s="1">
        <v>69.2843486872939</v>
      </c>
      <c r="F61" s="1">
        <v>151.46708333333299</v>
      </c>
      <c r="G61" s="1">
        <v>120.460833333333</v>
      </c>
      <c r="H61" s="1">
        <v>156.29497052309</v>
      </c>
      <c r="I61" s="1">
        <v>121.41609953001399</v>
      </c>
      <c r="J61" s="1">
        <v>1.3334704920999501</v>
      </c>
      <c r="K61" s="1">
        <v>263.05917121402098</v>
      </c>
      <c r="L61" s="1">
        <v>160.36292093252899</v>
      </c>
      <c r="M61" s="1">
        <v>1.3337432875669999</v>
      </c>
      <c r="N61" s="1">
        <v>329.54965969553302</v>
      </c>
      <c r="O61" s="1">
        <v>221.42732403546299</v>
      </c>
      <c r="P61">
        <f>B61*M61</f>
        <v>12.243658184156278</v>
      </c>
      <c r="Q61">
        <f>C61/M61</f>
        <v>2.6135979556672888</v>
      </c>
      <c r="R61">
        <f>1/(1/H61+1/(N61*B61))</f>
        <v>148.61687836601723</v>
      </c>
      <c r="S61">
        <f>1/(1/I61+1/(O61*B61))</f>
        <v>114.57247148702693</v>
      </c>
    </row>
    <row r="62" spans="1:19">
      <c r="A62" s="2">
        <v>1E-4</v>
      </c>
      <c r="B62" s="1">
        <v>7.2341472565770104</v>
      </c>
      <c r="C62" s="1">
        <v>4.4234653878391503</v>
      </c>
      <c r="D62" s="1">
        <v>83.259652727868797</v>
      </c>
      <c r="F62" s="1">
        <v>146.43736666666601</v>
      </c>
      <c r="G62" s="1">
        <v>116.9532</v>
      </c>
      <c r="H62" s="1">
        <v>156.09622952073701</v>
      </c>
      <c r="I62" s="1">
        <v>121.268059812606</v>
      </c>
      <c r="J62" s="1">
        <v>1.25442356600981</v>
      </c>
      <c r="K62" s="1">
        <v>269.49353602164803</v>
      </c>
      <c r="L62" s="1">
        <v>177.84850001401199</v>
      </c>
      <c r="M62" s="1">
        <v>1.25552642575922</v>
      </c>
      <c r="N62" s="1">
        <v>334.54318952008703</v>
      </c>
      <c r="O62" s="1">
        <v>238.04639048518399</v>
      </c>
      <c r="P62">
        <f>B62*M62</f>
        <v>9.0826630484660011</v>
      </c>
      <c r="Q62">
        <f>C62/M62</f>
        <v>3.5231957664007507</v>
      </c>
      <c r="R62">
        <f>1/(1/H62+1/(N62*B62))</f>
        <v>146.63821369504089</v>
      </c>
      <c r="S62">
        <f>1/(1/I62+1/(O62*B62))</f>
        <v>113.29014119445677</v>
      </c>
    </row>
    <row r="63" spans="1:19">
      <c r="A63" s="2">
        <v>5.0000000000000002E-5</v>
      </c>
      <c r="B63" s="1">
        <v>6.5157194502683504</v>
      </c>
      <c r="C63" s="1">
        <v>4.9111997906358598</v>
      </c>
      <c r="D63" s="1">
        <v>89.279270677886103</v>
      </c>
      <c r="F63" s="1">
        <v>151.313083333333</v>
      </c>
      <c r="G63" s="1">
        <v>120.23141666666599</v>
      </c>
      <c r="H63" s="1">
        <v>155.93554398743299</v>
      </c>
      <c r="I63" s="1">
        <v>121.17873697892399</v>
      </c>
      <c r="J63" s="1">
        <v>1.2361610677473001</v>
      </c>
      <c r="K63" s="1">
        <v>272.91406042276401</v>
      </c>
      <c r="L63" s="1">
        <v>186.82672226329299</v>
      </c>
      <c r="M63" s="1">
        <v>1.23791055970248</v>
      </c>
      <c r="N63" s="1">
        <v>336.106730385942</v>
      </c>
      <c r="O63" s="1">
        <v>240.510489892604</v>
      </c>
      <c r="P63">
        <f>B63*M63</f>
        <v>8.0658779115460284</v>
      </c>
      <c r="Q63">
        <f>C63/M63</f>
        <v>3.9673300725508147</v>
      </c>
      <c r="R63">
        <f>1/(1/H63+1/(N63*B63))</f>
        <v>145.57032714380946</v>
      </c>
      <c r="S63">
        <f>1/(1/I63+1/(O63*B63))</f>
        <v>112.48094570672077</v>
      </c>
    </row>
    <row r="64" spans="1:19">
      <c r="A64" s="4">
        <v>1.0000000000000001E-5</v>
      </c>
      <c r="B64" s="1">
        <v>5.0706538351508401</v>
      </c>
      <c r="C64" s="1">
        <v>6.3108232272077398</v>
      </c>
      <c r="D64" s="1">
        <v>2.31520399968168</v>
      </c>
      <c r="F64" s="1">
        <v>150.9425</v>
      </c>
      <c r="G64" s="1">
        <v>120.00449999999999</v>
      </c>
      <c r="H64" s="1">
        <v>155.57931399383199</v>
      </c>
      <c r="I64" s="1">
        <v>120.948205690062</v>
      </c>
      <c r="J64" s="1">
        <v>1.1979020949777801</v>
      </c>
      <c r="K64" s="1">
        <v>276.65757369535697</v>
      </c>
      <c r="L64" s="1">
        <v>201.556553319068</v>
      </c>
      <c r="M64" s="1">
        <v>1.1972080625072199</v>
      </c>
      <c r="N64" s="1">
        <v>338.191772862969</v>
      </c>
      <c r="O64" s="1">
        <v>263.20452923739202</v>
      </c>
      <c r="P64">
        <f>B64*M64</f>
        <v>6.0706276536257411</v>
      </c>
      <c r="Q64">
        <f>C64/M64</f>
        <v>5.2712836012743454</v>
      </c>
      <c r="R64">
        <f>1/(1/H64+1/(N64*B64))</f>
        <v>142.63849948005472</v>
      </c>
      <c r="S64">
        <f>1/(1/I64+1/(O64*B64))</f>
        <v>110.8981936785157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05FB-A021-4324-99F8-152DD7642C49}">
  <dimension ref="A1:U113"/>
  <sheetViews>
    <sheetView topLeftCell="A52" workbookViewId="0">
      <selection activeCell="H60" sqref="H60"/>
    </sheetView>
  </sheetViews>
  <sheetFormatPr defaultRowHeight="15"/>
  <cols>
    <col min="1" max="1" width="8.7109375" style="5"/>
    <col min="2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0.01</v>
      </c>
      <c r="B3" s="1">
        <v>22.644296438812798</v>
      </c>
      <c r="C3" s="1">
        <v>1.4131593837091501</v>
      </c>
      <c r="D3" s="1">
        <v>45.603945504825603</v>
      </c>
      <c r="F3" s="1">
        <v>62.935384615384599</v>
      </c>
      <c r="G3" s="1">
        <v>62.935384615384599</v>
      </c>
      <c r="H3" s="1">
        <v>120.15518584869901</v>
      </c>
      <c r="I3" s="1">
        <v>68.8198320447529</v>
      </c>
      <c r="J3" s="1">
        <v>1.2566289524296801</v>
      </c>
      <c r="K3" s="1">
        <v>108.98629279523</v>
      </c>
      <c r="L3" s="1">
        <v>36.112281721874602</v>
      </c>
      <c r="M3" s="1">
        <v>1.2565722163069</v>
      </c>
      <c r="N3" s="1">
        <v>236.578647992962</v>
      </c>
      <c r="O3" s="1">
        <v>147.74778255305699</v>
      </c>
      <c r="P3">
        <f>B3*M3</f>
        <v>28.454193762829441</v>
      </c>
      <c r="Q3">
        <f>C3/M3</f>
        <v>1.124614538957788</v>
      </c>
      <c r="R3">
        <f>1/(1/H3+1/(N3*B3))</f>
        <v>117.51935497017119</v>
      </c>
      <c r="S3">
        <f>1/(1/I3+1/(O3*B3))</f>
        <v>67.432742093775474</v>
      </c>
    </row>
    <row r="4" spans="1:19">
      <c r="A4" s="2">
        <v>5.0000000000000001E-3</v>
      </c>
      <c r="B4" s="1">
        <v>20.1233579267845</v>
      </c>
      <c r="C4" s="1">
        <v>1.5901918614391599</v>
      </c>
      <c r="D4" s="1">
        <v>49.989555185479098</v>
      </c>
      <c r="F4" s="1">
        <v>48.9238461538461</v>
      </c>
      <c r="G4" s="1">
        <v>48.9238461538461</v>
      </c>
      <c r="H4" s="1">
        <v>118.61319256701</v>
      </c>
      <c r="I4" s="1">
        <v>65.383477511488195</v>
      </c>
      <c r="J4" s="1">
        <v>1.16176571268343</v>
      </c>
      <c r="K4" s="1">
        <v>123.234262572388</v>
      </c>
      <c r="L4" s="1">
        <v>41.162279527987998</v>
      </c>
      <c r="M4" s="1">
        <v>1.1617960472502999</v>
      </c>
      <c r="N4" s="1">
        <v>249.702838476691</v>
      </c>
      <c r="O4" s="1">
        <v>167.67603853230801</v>
      </c>
      <c r="P4">
        <f>B4*M4</f>
        <v>23.379237696741225</v>
      </c>
      <c r="Q4">
        <f>C4/M4</f>
        <v>1.3687358165856847</v>
      </c>
      <c r="R4">
        <f>1/(1/H4+1/(N4*B4))</f>
        <v>115.87786372699343</v>
      </c>
      <c r="S4">
        <f>1/(1/I4+1/(O4*B4))</f>
        <v>64.140596499675652</v>
      </c>
    </row>
    <row r="5" spans="1:19">
      <c r="A5" s="2">
        <v>1E-3</v>
      </c>
      <c r="B5" s="1">
        <v>14.2146440980416</v>
      </c>
      <c r="C5" s="1">
        <v>2.2511995220765701</v>
      </c>
      <c r="D5" s="1">
        <v>64.619509580308701</v>
      </c>
      <c r="F5" s="1">
        <v>45.343846153846101</v>
      </c>
      <c r="G5" s="1">
        <v>45.343846153846101</v>
      </c>
      <c r="H5" s="1">
        <v>113.102778959967</v>
      </c>
      <c r="I5" s="1">
        <v>56.837993827743297</v>
      </c>
      <c r="J5" s="1">
        <v>1.1013232469921199</v>
      </c>
      <c r="K5" s="1">
        <v>160.93281890344699</v>
      </c>
      <c r="L5" s="1">
        <v>55.515610130538299</v>
      </c>
      <c r="M5" s="1">
        <v>1.1012675779397301</v>
      </c>
      <c r="N5" s="1">
        <v>284.02283882283899</v>
      </c>
      <c r="O5" s="1">
        <v>233.28462760860299</v>
      </c>
      <c r="P5">
        <f>B5*M5</f>
        <v>15.654126677125552</v>
      </c>
      <c r="Q5">
        <f>C5/M5</f>
        <v>2.0441894115217232</v>
      </c>
      <c r="R5">
        <f>1/(1/H5+1/(N5*B5))</f>
        <v>110.0205987641496</v>
      </c>
      <c r="S5">
        <f>1/(1/I5+1/(O5*B5))</f>
        <v>55.880194479238362</v>
      </c>
    </row>
    <row r="6" spans="1:19">
      <c r="A6" s="2">
        <v>5.0000000000000001E-4</v>
      </c>
      <c r="B6" s="1">
        <v>10.5945204186254</v>
      </c>
      <c r="C6" s="1">
        <v>3.0204293102067301</v>
      </c>
      <c r="D6" s="1">
        <v>70.1946634874745</v>
      </c>
      <c r="F6" s="1">
        <v>50.736923076922999</v>
      </c>
      <c r="G6" s="1">
        <v>50.736923076922999</v>
      </c>
      <c r="H6" s="1">
        <v>109.18387287054399</v>
      </c>
      <c r="I6" s="1">
        <v>55.579981873497701</v>
      </c>
      <c r="J6" s="1">
        <v>1.07312392127262</v>
      </c>
      <c r="K6" s="1">
        <v>183.584452205166</v>
      </c>
      <c r="L6" s="1">
        <v>70.015134533860703</v>
      </c>
      <c r="M6" s="1">
        <v>1.0734142463744001</v>
      </c>
      <c r="N6" s="1">
        <v>328.23637121011598</v>
      </c>
      <c r="O6" s="1">
        <v>267.69708534730501</v>
      </c>
      <c r="P6">
        <f>B6*M6</f>
        <v>11.372309150856978</v>
      </c>
      <c r="Q6">
        <f>C6/M6</f>
        <v>2.8138524529636468</v>
      </c>
      <c r="R6">
        <f>1/(1/H6+1/(N6*B6))</f>
        <v>105.86016343273393</v>
      </c>
      <c r="S6">
        <f>1/(1/I6+1/(O6*B6))</f>
        <v>54.511706459384548</v>
      </c>
    </row>
    <row r="7" spans="1:19">
      <c r="A7" s="2">
        <v>1E-4</v>
      </c>
      <c r="B7" s="1">
        <v>7.5495374194796696</v>
      </c>
      <c r="C7" s="1">
        <v>4.2386702948755497</v>
      </c>
      <c r="D7" s="1">
        <v>85.328305628275103</v>
      </c>
      <c r="F7" s="1">
        <v>42.786153846153802</v>
      </c>
      <c r="G7" s="1">
        <v>42.786153846153802</v>
      </c>
      <c r="H7" s="1">
        <v>108.393951404665</v>
      </c>
      <c r="I7" s="1">
        <v>52.639381704901403</v>
      </c>
      <c r="J7" s="1">
        <v>1.0611049389364799</v>
      </c>
      <c r="K7" s="1">
        <v>230.79740407968501</v>
      </c>
      <c r="L7" s="1">
        <v>90.458522940260906</v>
      </c>
      <c r="M7" s="1">
        <v>1.0630004295664499</v>
      </c>
      <c r="N7" s="1">
        <v>355.24134799237203</v>
      </c>
      <c r="O7" s="1">
        <v>330.73440475896899</v>
      </c>
      <c r="P7">
        <f>B7*M7</f>
        <v>8.0251615199348763</v>
      </c>
      <c r="Q7">
        <f>C7/M7</f>
        <v>3.9874586848514375</v>
      </c>
      <c r="R7">
        <f>1/(1/H7+1/(N7*B7))</f>
        <v>104.18320663977107</v>
      </c>
      <c r="S7">
        <f>1/(1/I7+1/(O7*B7))</f>
        <v>51.552552657823533</v>
      </c>
    </row>
    <row r="8" spans="1:19">
      <c r="A8" s="2">
        <v>5.0000000000000002E-5</v>
      </c>
      <c r="B8" s="1">
        <v>6.4221673382307998</v>
      </c>
      <c r="C8" s="1">
        <v>4.9827415441989098</v>
      </c>
      <c r="D8" s="1">
        <v>90.194815735469504</v>
      </c>
      <c r="F8" s="1">
        <v>47.64</v>
      </c>
      <c r="G8" s="1">
        <v>47.64</v>
      </c>
      <c r="H8" s="1">
        <v>105.407146457484</v>
      </c>
      <c r="I8" s="1">
        <v>52.039630914422602</v>
      </c>
      <c r="J8" s="1">
        <v>1.05749725490855</v>
      </c>
      <c r="K8" s="1">
        <v>224.05296840345699</v>
      </c>
      <c r="L8" s="1">
        <v>104.125915776567</v>
      </c>
      <c r="M8" s="1">
        <v>1.05678791092229</v>
      </c>
      <c r="N8" s="1">
        <v>337.40942932972501</v>
      </c>
      <c r="O8" s="1">
        <v>344.52602145689201</v>
      </c>
      <c r="P8">
        <f>B8*M8</f>
        <v>6.7868688049622907</v>
      </c>
      <c r="Q8">
        <f>C8/M8</f>
        <v>4.7149872672656938</v>
      </c>
      <c r="R8">
        <f>1/(1/H8+1/(N8*B8))</f>
        <v>100.51754892304564</v>
      </c>
      <c r="S8">
        <f>1/(1/I8+1/(O8*B8))</f>
        <v>50.843803264922506</v>
      </c>
    </row>
    <row r="9" spans="1:19">
      <c r="A9" s="4">
        <v>1.0000000000000001E-5</v>
      </c>
      <c r="B9" s="1">
        <v>5.5700568329269204</v>
      </c>
      <c r="C9" s="1">
        <v>5.7450042180601599</v>
      </c>
      <c r="D9" s="1">
        <v>104.081028359439</v>
      </c>
      <c r="F9" s="1">
        <v>44.044444444444402</v>
      </c>
      <c r="G9" s="1">
        <v>44.044444444444402</v>
      </c>
      <c r="H9" s="1">
        <v>104.694159957445</v>
      </c>
      <c r="I9" s="1">
        <v>51.767220876834699</v>
      </c>
      <c r="J9" s="1">
        <v>1.06833064646776</v>
      </c>
      <c r="K9" s="1">
        <v>252.174896382246</v>
      </c>
      <c r="L9" s="1">
        <v>117.308128764757</v>
      </c>
      <c r="M9" s="1">
        <v>1.0686676183192001</v>
      </c>
      <c r="N9" s="1">
        <v>370.01021391590803</v>
      </c>
      <c r="O9" s="1">
        <v>349.599624746654</v>
      </c>
      <c r="P9">
        <f>B9*M9</f>
        <v>5.9525393695465985</v>
      </c>
      <c r="Q9">
        <f>C9/M9</f>
        <v>5.3758569264931033</v>
      </c>
      <c r="R9">
        <f>1/(1/H9+1/(N9*B9))</f>
        <v>99.632974919672165</v>
      </c>
      <c r="S9">
        <f>1/(1/I9+1/(O9*B9))</f>
        <v>50.426666226316705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0.01</v>
      </c>
      <c r="B13" s="1">
        <v>21.098718814874701</v>
      </c>
      <c r="C13" s="1">
        <v>1.5166797700265899</v>
      </c>
      <c r="D13" s="1">
        <v>51.730207707064402</v>
      </c>
      <c r="F13" s="1">
        <v>43.710769230769202</v>
      </c>
      <c r="G13" s="1">
        <v>43.710769230769202</v>
      </c>
      <c r="H13" s="1">
        <v>74.2531398799957</v>
      </c>
      <c r="I13" s="1">
        <v>54.3015003811621</v>
      </c>
      <c r="J13" s="1">
        <v>1.7117197658362999</v>
      </c>
      <c r="K13" s="1">
        <v>116.140095489367</v>
      </c>
      <c r="L13" s="1">
        <v>37.932208272951598</v>
      </c>
      <c r="M13" s="1">
        <v>1.71253806615646</v>
      </c>
      <c r="N13" s="1">
        <v>251.06077957487901</v>
      </c>
      <c r="O13" s="1">
        <v>147.89067069404101</v>
      </c>
      <c r="P13">
        <f>B13*M13</f>
        <v>36.132359117604437</v>
      </c>
      <c r="Q13">
        <f>C13/M13</f>
        <v>0.88563273424371514</v>
      </c>
      <c r="R13">
        <f>1/(1/H13+1/(N13*B13))</f>
        <v>73.22666314632805</v>
      </c>
      <c r="S13">
        <f>1/(1/I13+1/(O13*B13))</f>
        <v>53.372675289686505</v>
      </c>
    </row>
    <row r="14" spans="1:19">
      <c r="A14" s="2">
        <v>5.0000000000000001E-3</v>
      </c>
      <c r="B14" s="1">
        <v>19.2662510182804</v>
      </c>
      <c r="C14" s="1">
        <v>1.66093548608068</v>
      </c>
      <c r="D14" s="1">
        <v>56.399689945277501</v>
      </c>
      <c r="F14" s="1">
        <v>50.027692307692298</v>
      </c>
      <c r="G14" s="1">
        <v>50.027692307692298</v>
      </c>
      <c r="H14" s="1">
        <v>72.5877662323865</v>
      </c>
      <c r="I14" s="1">
        <v>52.272258502148702</v>
      </c>
      <c r="J14" s="1">
        <v>1.50775219774352</v>
      </c>
      <c r="K14" s="1">
        <v>121.369775735807</v>
      </c>
      <c r="L14" s="1">
        <v>42.261421771453499</v>
      </c>
      <c r="M14" s="1">
        <v>1.5086301625696299</v>
      </c>
      <c r="N14" s="1">
        <v>257.694240600081</v>
      </c>
      <c r="O14" s="1">
        <v>159.43701033999099</v>
      </c>
      <c r="P14">
        <f>B14*M14</f>
        <v>29.065647405815657</v>
      </c>
      <c r="Q14">
        <f>C14/M14</f>
        <v>1.1009560376624252</v>
      </c>
      <c r="R14">
        <f>1/(1/H14+1/(N14*B14))</f>
        <v>71.54179120778295</v>
      </c>
      <c r="S14">
        <f>1/(1/I14+1/(O14*B14))</f>
        <v>51.397621334384311</v>
      </c>
    </row>
    <row r="15" spans="1:19">
      <c r="A15" s="2">
        <v>1E-3</v>
      </c>
      <c r="B15" s="1">
        <v>14.0035872099486</v>
      </c>
      <c r="C15" s="1">
        <v>2.28512876881046</v>
      </c>
      <c r="D15" s="1">
        <v>68.0538502553418</v>
      </c>
      <c r="F15" s="1">
        <v>42.1976923076923</v>
      </c>
      <c r="G15" s="1">
        <v>42.1976923076923</v>
      </c>
      <c r="H15" s="1">
        <v>72.112791683379001</v>
      </c>
      <c r="I15" s="1">
        <v>47.494546364731498</v>
      </c>
      <c r="J15" s="1">
        <v>1.1895598837913499</v>
      </c>
      <c r="K15" s="1">
        <v>155.59361625175401</v>
      </c>
      <c r="L15" s="1">
        <v>54.622659358519101</v>
      </c>
      <c r="M15" s="1">
        <v>1.1913712257899101</v>
      </c>
      <c r="N15" s="1">
        <v>280.44410229987801</v>
      </c>
      <c r="O15" s="1">
        <v>197.01163477967799</v>
      </c>
      <c r="P15">
        <f>B15*M15</f>
        <v>16.68347085977237</v>
      </c>
      <c r="Q15">
        <f>C15/M15</f>
        <v>1.9180661068050895</v>
      </c>
      <c r="R15">
        <f>1/(1/H15+1/(N15*B15))</f>
        <v>70.812512232534544</v>
      </c>
      <c r="S15">
        <f>1/(1/I15+1/(O15*B15))</f>
        <v>46.690754764817406</v>
      </c>
    </row>
    <row r="16" spans="1:19">
      <c r="A16" s="2">
        <v>5.0000000000000001E-4</v>
      </c>
      <c r="B16" s="1">
        <v>10.674443168145601</v>
      </c>
      <c r="C16" s="1">
        <v>2.9978144523260402</v>
      </c>
      <c r="D16" s="1">
        <v>73.291522769353705</v>
      </c>
      <c r="F16" s="1">
        <v>43.9707692307692</v>
      </c>
      <c r="G16" s="1">
        <v>43.9707692307692</v>
      </c>
      <c r="H16" s="1">
        <v>71.350192668397696</v>
      </c>
      <c r="I16" s="1">
        <v>46.106800762461901</v>
      </c>
      <c r="J16" s="1">
        <v>1.1183854039065999</v>
      </c>
      <c r="K16" s="1">
        <v>181.497867528591</v>
      </c>
      <c r="L16" s="1">
        <v>68.233279992267498</v>
      </c>
      <c r="M16" s="1">
        <v>1.11780621445676</v>
      </c>
      <c r="N16" s="1">
        <v>309.14168888181098</v>
      </c>
      <c r="O16" s="1">
        <v>229.97562372501599</v>
      </c>
      <c r="P16">
        <f>B16*M16</f>
        <v>11.931958909218658</v>
      </c>
      <c r="Q16">
        <f>C16/M16</f>
        <v>2.6818731310980777</v>
      </c>
      <c r="R16">
        <f>1/(1/H16+1/(N16*B16))</f>
        <v>69.84012178531728</v>
      </c>
      <c r="S16">
        <f>1/(1/I16+1/(O16*B16))</f>
        <v>45.256795232917518</v>
      </c>
    </row>
    <row r="17" spans="1:19">
      <c r="A17" s="4">
        <v>1E-4</v>
      </c>
      <c r="B17" s="1">
        <v>6.5256223093594201</v>
      </c>
      <c r="C17" s="1">
        <v>4.9037468739347201</v>
      </c>
      <c r="D17" s="1">
        <v>86.454779893871205</v>
      </c>
      <c r="F17" s="1">
        <v>39.657499999999999</v>
      </c>
      <c r="G17" s="1">
        <v>39.657499999999999</v>
      </c>
      <c r="H17" s="1">
        <v>71.058349659143602</v>
      </c>
      <c r="I17" s="1">
        <v>44.138485722113302</v>
      </c>
      <c r="J17" s="1">
        <v>1.07199091420328</v>
      </c>
      <c r="K17" s="1">
        <v>249.655231771183</v>
      </c>
      <c r="L17" s="1">
        <v>101.425973253766</v>
      </c>
      <c r="M17" s="1">
        <v>1.0717619237793601</v>
      </c>
      <c r="N17" s="1">
        <v>362.42651139783101</v>
      </c>
      <c r="O17" s="1">
        <v>301.17482574385002</v>
      </c>
      <c r="P17">
        <f>B17*M17</f>
        <v>6.9939135201365623</v>
      </c>
      <c r="Q17">
        <f>C17/M17</f>
        <v>4.5754068745441243</v>
      </c>
      <c r="R17">
        <f>1/(1/H17+1/(N17*B17))</f>
        <v>68.985670346420903</v>
      </c>
      <c r="S17">
        <f>1/(1/I17+1/(O17*B17))</f>
        <v>43.1689838462758</v>
      </c>
    </row>
    <row r="18" spans="1:19">
      <c r="A18" s="4">
        <v>5.0000000000000002E-5</v>
      </c>
      <c r="B18" s="1">
        <v>6.3261837002696799</v>
      </c>
      <c r="C18" s="1">
        <v>5.0583418876432296</v>
      </c>
      <c r="D18" s="1">
        <v>92.450655477002101</v>
      </c>
      <c r="F18" s="1">
        <v>39.051000000000002</v>
      </c>
      <c r="G18" s="1">
        <v>39.051000000000002</v>
      </c>
      <c r="H18" s="1">
        <v>71.129508045135694</v>
      </c>
      <c r="I18" s="1">
        <v>43.966840767805003</v>
      </c>
      <c r="J18" s="1">
        <v>1.07402746717761</v>
      </c>
      <c r="K18" s="1">
        <v>248.540195405134</v>
      </c>
      <c r="L18" s="1">
        <v>105.458950409781</v>
      </c>
      <c r="M18" s="1">
        <v>1.07343132483027</v>
      </c>
      <c r="N18" s="1">
        <v>377.05962632207297</v>
      </c>
      <c r="O18" s="1">
        <v>330.50763095761198</v>
      </c>
      <c r="P18">
        <f>B18*M18</f>
        <v>6.7907237505001428</v>
      </c>
      <c r="Q18">
        <f>C18/M18</f>
        <v>4.7123106719873764</v>
      </c>
      <c r="R18">
        <f>1/(1/H18+1/(N18*B18))</f>
        <v>69.069889772023714</v>
      </c>
      <c r="S18">
        <f>1/(1/I18+1/(O18*B18))</f>
        <v>43.061338595324358</v>
      </c>
    </row>
    <row r="19" spans="1:19">
      <c r="A19" s="4">
        <v>1.0000000000000001E-5</v>
      </c>
      <c r="B19" s="1">
        <v>4.7367180715640202</v>
      </c>
      <c r="C19" s="1">
        <v>6.7557324536805003</v>
      </c>
      <c r="D19" s="1">
        <v>106.314946606646</v>
      </c>
      <c r="F19" s="1">
        <v>43.848888888888801</v>
      </c>
      <c r="G19" s="1">
        <v>43.848888888888801</v>
      </c>
      <c r="H19" s="1">
        <v>70.780735683986705</v>
      </c>
      <c r="I19" s="1">
        <v>43.609967680067797</v>
      </c>
      <c r="J19" s="1">
        <v>1.0779739098983001</v>
      </c>
      <c r="K19" s="1">
        <v>258.06114719637498</v>
      </c>
      <c r="L19" s="1">
        <v>132.90941452233699</v>
      </c>
      <c r="M19" s="1">
        <v>1.07763597319946</v>
      </c>
      <c r="N19" s="1">
        <v>390.909667367434</v>
      </c>
      <c r="O19" s="1">
        <v>361.41407085257498</v>
      </c>
      <c r="P19">
        <f>B19*M19</f>
        <v>5.1044577888213629</v>
      </c>
      <c r="Q19">
        <f>C19/M19</f>
        <v>6.269030193584749</v>
      </c>
      <c r="R19">
        <f>1/(1/H19+1/(N19*B19))</f>
        <v>68.174676866937418</v>
      </c>
      <c r="S19">
        <f>1/(1/I19+1/(O19*B19))</f>
        <v>42.526629291109067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0.01</v>
      </c>
      <c r="B24" s="1">
        <v>6.5040804592107602</v>
      </c>
      <c r="C24" s="1">
        <v>4.91998833665766</v>
      </c>
      <c r="D24" s="1">
        <v>45.603935738165298</v>
      </c>
      <c r="F24" s="1">
        <v>29.269818769230699</v>
      </c>
      <c r="G24" s="1">
        <v>35.922651769230697</v>
      </c>
      <c r="H24" s="1">
        <v>55.085847146009399</v>
      </c>
      <c r="I24" s="1">
        <v>67.686199986120201</v>
      </c>
      <c r="J24" s="1">
        <v>2.20906655220013</v>
      </c>
      <c r="K24" s="1">
        <v>230.13199459818699</v>
      </c>
      <c r="L24" s="1">
        <v>123.160842852627</v>
      </c>
      <c r="M24" s="1">
        <v>2.2125213401460999</v>
      </c>
      <c r="N24" s="1">
        <v>355.73613457216902</v>
      </c>
      <c r="O24" s="1">
        <v>306.66678849060003</v>
      </c>
      <c r="P24">
        <f>B24*M24</f>
        <v>14.390416814031052</v>
      </c>
      <c r="Q24">
        <f>C24/M24</f>
        <v>2.2237020937989134</v>
      </c>
      <c r="R24">
        <f>1/(1/H24+1/(N24*B24))</f>
        <v>53.804851703535633</v>
      </c>
      <c r="S24">
        <f>1/(1/I24+1/(O24*B24))</f>
        <v>65.464658691154114</v>
      </c>
    </row>
    <row r="25" spans="1:19">
      <c r="A25" s="2">
        <v>5.0000000000000001E-3</v>
      </c>
      <c r="B25" s="1">
        <v>5.4808830510083704</v>
      </c>
      <c r="C25" s="1">
        <v>5.8384752424360897</v>
      </c>
      <c r="D25" s="1">
        <v>49.989527924260202</v>
      </c>
      <c r="F25" s="1">
        <v>33.246478461538402</v>
      </c>
      <c r="G25" s="1">
        <v>38.5350956923076</v>
      </c>
      <c r="H25" s="1">
        <v>53.477470789401899</v>
      </c>
      <c r="I25" s="1">
        <v>59.247024761078499</v>
      </c>
      <c r="J25" s="1">
        <v>1.8958106976481199</v>
      </c>
      <c r="K25" s="1">
        <v>252.436289678337</v>
      </c>
      <c r="L25" s="1">
        <v>139.08260874613501</v>
      </c>
      <c r="M25" s="1">
        <v>1.8977367655805599</v>
      </c>
      <c r="N25" s="1">
        <v>364.60350014436102</v>
      </c>
      <c r="O25" s="1">
        <v>300.94810336349599</v>
      </c>
      <c r="P25">
        <f>B25*M25</f>
        <v>10.401273273745936</v>
      </c>
      <c r="Q25">
        <f>C25/M25</f>
        <v>3.0765464148290187</v>
      </c>
      <c r="R25">
        <f>1/(1/H25+1/(N25*B25))</f>
        <v>52.083668866262684</v>
      </c>
      <c r="S25">
        <f>1/(1/I25+1/(O25*B25))</f>
        <v>57.192718727067287</v>
      </c>
    </row>
    <row r="26" spans="1:19">
      <c r="A26" s="2">
        <v>1E-3</v>
      </c>
      <c r="B26" s="1">
        <v>3.9425759965741598</v>
      </c>
      <c r="C26" s="1">
        <v>8.1165207792585097</v>
      </c>
      <c r="D26" s="1">
        <v>64.619836743743093</v>
      </c>
      <c r="F26" s="1">
        <v>27.577253769230701</v>
      </c>
      <c r="G26" s="1">
        <v>30.513392846153799</v>
      </c>
      <c r="H26" s="1">
        <v>47.076858122481902</v>
      </c>
      <c r="I26" s="1">
        <v>47.3085310759135</v>
      </c>
      <c r="J26" s="1">
        <v>1.4989780324770701</v>
      </c>
      <c r="K26" s="1">
        <v>279.88866284929401</v>
      </c>
      <c r="L26" s="1">
        <v>167.03546926591801</v>
      </c>
      <c r="M26" s="1">
        <v>1.4999327334510699</v>
      </c>
      <c r="N26" s="1">
        <v>383.53387964241699</v>
      </c>
      <c r="O26" s="1">
        <v>313.649794462523</v>
      </c>
      <c r="P26">
        <f>B26*M26</f>
        <v>5.9135987913800552</v>
      </c>
      <c r="Q26">
        <f>C26/M26</f>
        <v>5.4112565172065317</v>
      </c>
      <c r="R26">
        <f>1/(1/H26+1/(N26*B26))</f>
        <v>45.655457940151464</v>
      </c>
      <c r="S26">
        <f>1/(1/I26+1/(O26*B26))</f>
        <v>45.565324520554505</v>
      </c>
    </row>
    <row r="27" spans="1:19">
      <c r="A27" s="2">
        <v>5.0000000000000001E-4</v>
      </c>
      <c r="B27" s="1">
        <v>3.5234486254431299</v>
      </c>
      <c r="C27" s="1">
        <v>9.0820112343699702</v>
      </c>
      <c r="D27" s="1">
        <v>70.194543870966498</v>
      </c>
      <c r="F27" s="1">
        <v>27.839078923076901</v>
      </c>
      <c r="G27" s="1">
        <v>31.4335413846153</v>
      </c>
      <c r="H27" s="1">
        <v>46.366687085256601</v>
      </c>
      <c r="I27" s="1">
        <v>42.851870527441001</v>
      </c>
      <c r="J27" s="1">
        <v>1.42342638291474</v>
      </c>
      <c r="K27" s="1">
        <v>285.12827850440698</v>
      </c>
      <c r="L27" s="1">
        <v>171.86300635011801</v>
      </c>
      <c r="M27" s="1">
        <v>1.4238017656251001</v>
      </c>
      <c r="N27" s="1">
        <v>393.53060682258001</v>
      </c>
      <c r="O27" s="1">
        <v>318.14535799185001</v>
      </c>
      <c r="P27">
        <f>B27*M27</f>
        <v>5.0166923739952605</v>
      </c>
      <c r="Q27">
        <f>C27/M27</f>
        <v>6.378704854592339</v>
      </c>
      <c r="R27">
        <f>1/(1/H27+1/(N27*B27))</f>
        <v>44.86637840272504</v>
      </c>
      <c r="S27">
        <f>1/(1/I27+1/(O27*B27))</f>
        <v>41.274064929164538</v>
      </c>
    </row>
    <row r="28" spans="1:19">
      <c r="A28" s="2">
        <v>1E-4</v>
      </c>
      <c r="B28" s="1">
        <v>2.81263895799436</v>
      </c>
      <c r="C28" s="1">
        <v>11.3772156604196</v>
      </c>
      <c r="D28" s="1">
        <v>85.328305625041807</v>
      </c>
      <c r="F28" s="1">
        <v>27.114092230769199</v>
      </c>
      <c r="G28" s="1">
        <v>27.399819615384601</v>
      </c>
      <c r="H28" s="1">
        <v>43.177588535945802</v>
      </c>
      <c r="I28" s="1">
        <v>35.289997460984303</v>
      </c>
      <c r="J28" s="1">
        <v>1.34850078385558</v>
      </c>
      <c r="K28" s="1">
        <v>283.20856538972799</v>
      </c>
      <c r="L28" s="1">
        <v>194.09671811693599</v>
      </c>
      <c r="M28" s="1">
        <v>1.3484631274253001</v>
      </c>
      <c r="N28" s="1">
        <v>396.31838181940702</v>
      </c>
      <c r="O28" s="1">
        <v>326.76613097750601</v>
      </c>
      <c r="P28">
        <f>B28*M28</f>
        <v>3.792739925615312</v>
      </c>
      <c r="Q28">
        <f>C28/M28</f>
        <v>8.4371722363241677</v>
      </c>
      <c r="R28">
        <f>1/(1/H28+1/(N28*B28))</f>
        <v>41.567484555853589</v>
      </c>
      <c r="S28">
        <f>1/(1/I28+1/(O28*B28))</f>
        <v>33.985063050998477</v>
      </c>
    </row>
    <row r="29" spans="1:19">
      <c r="A29" s="2">
        <v>5.0000000000000002E-5</v>
      </c>
      <c r="B29" s="1">
        <v>2.5871970720523998</v>
      </c>
      <c r="C29" s="1">
        <v>12.3685977947612</v>
      </c>
      <c r="D29" s="1">
        <v>90.194816132163695</v>
      </c>
      <c r="F29" s="1">
        <v>27.491206076923</v>
      </c>
      <c r="G29" s="1">
        <v>27.394300692307599</v>
      </c>
      <c r="H29" s="1">
        <v>39.606452515578901</v>
      </c>
      <c r="I29" s="1">
        <v>35.208303178968997</v>
      </c>
      <c r="J29" s="1">
        <v>1.3347236554525801</v>
      </c>
      <c r="K29" s="1">
        <v>307.74823862034998</v>
      </c>
      <c r="L29" s="1">
        <v>212.095552701043</v>
      </c>
      <c r="M29" s="1">
        <v>1.3359713804100799</v>
      </c>
      <c r="N29" s="1">
        <v>403.94493878526703</v>
      </c>
      <c r="O29" s="1">
        <v>323.11489019616602</v>
      </c>
      <c r="P29">
        <f>B29*M29</f>
        <v>3.4564212437427617</v>
      </c>
      <c r="Q29">
        <f>C29/M29</f>
        <v>9.2581308073864772</v>
      </c>
      <c r="R29">
        <f>1/(1/H29+1/(N29*B29))</f>
        <v>38.160261673332812</v>
      </c>
      <c r="S29">
        <f>1/(1/I29+1/(O29*B29))</f>
        <v>33.785361242622791</v>
      </c>
    </row>
    <row r="30" spans="1:19">
      <c r="A30" s="2">
        <v>1.0000000000000001E-5</v>
      </c>
      <c r="B30" s="1">
        <v>2.19780452789748</v>
      </c>
      <c r="C30" s="1">
        <v>14.5599845636011</v>
      </c>
      <c r="D30" s="1">
        <v>104.28764819849501</v>
      </c>
      <c r="F30" s="1">
        <v>24.028851230769199</v>
      </c>
      <c r="G30" s="1">
        <v>22.216868846153801</v>
      </c>
      <c r="H30" s="1">
        <v>33.724145156304203</v>
      </c>
      <c r="I30" s="1">
        <v>27.7772614616593</v>
      </c>
      <c r="J30" s="1">
        <v>1.3028909474171999</v>
      </c>
      <c r="K30" s="1">
        <v>317.014406061454</v>
      </c>
      <c r="L30" s="1">
        <v>219.11753831188901</v>
      </c>
      <c r="M30" s="1">
        <v>1.30153858205958</v>
      </c>
      <c r="N30" s="1">
        <v>420.62935445658599</v>
      </c>
      <c r="O30" s="1">
        <v>355.92406812301999</v>
      </c>
      <c r="P30">
        <f>B30*M30</f>
        <v>2.8605273888838108</v>
      </c>
      <c r="Q30">
        <f>C30/M30</f>
        <v>11.186748333315711</v>
      </c>
      <c r="R30">
        <f>1/(1/H30+1/(N30*B30))</f>
        <v>32.537195166706219</v>
      </c>
      <c r="S30">
        <f>1/(1/I30+1/(O30*B30))</f>
        <v>26.82473204065213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0.01</v>
      </c>
      <c r="B35" s="1">
        <v>3.1546214510730901</v>
      </c>
      <c r="C35" s="1">
        <v>10.143847842382</v>
      </c>
      <c r="D35" s="1">
        <v>38.541220794972602</v>
      </c>
      <c r="H35" s="1">
        <v>244.30140781783601</v>
      </c>
      <c r="I35" s="1">
        <v>384.146843295444</v>
      </c>
      <c r="J35" s="1">
        <v>1.0430827890460601</v>
      </c>
      <c r="K35" s="1">
        <v>257.04985877991601</v>
      </c>
      <c r="L35" s="1">
        <v>155.24621335246101</v>
      </c>
      <c r="M35" s="1">
        <v>1.04348656168781</v>
      </c>
      <c r="N35" s="1">
        <v>361.47185621945903</v>
      </c>
      <c r="O35" s="1">
        <v>325.70265141592</v>
      </c>
      <c r="P35">
        <f>B35*M35</f>
        <v>3.2918050914068684</v>
      </c>
      <c r="Q35">
        <f>C35/M35</f>
        <v>9.7211101846626686</v>
      </c>
      <c r="R35">
        <f>1/(1/H35+1/(N35*B35))</f>
        <v>201.1966692795543</v>
      </c>
      <c r="S35">
        <f>1/(1/I35+1/(O35*B35))</f>
        <v>279.60789044936433</v>
      </c>
    </row>
    <row r="36" spans="1:19">
      <c r="A36" s="4">
        <v>5.0000000000000001E-3</v>
      </c>
      <c r="B36" s="1">
        <v>2.94629103491329</v>
      </c>
      <c r="C36" s="1">
        <v>10.861113047150701</v>
      </c>
      <c r="D36" s="1">
        <v>40.483986359038099</v>
      </c>
      <c r="H36" s="1">
        <v>243.735107808278</v>
      </c>
      <c r="I36" s="1">
        <v>376.368798511092</v>
      </c>
      <c r="J36" s="1">
        <v>1.0407051817530799</v>
      </c>
      <c r="K36" s="1">
        <v>267.470647018394</v>
      </c>
      <c r="L36" s="1">
        <v>172.50130681818601</v>
      </c>
      <c r="M36" s="1">
        <v>1.0428802302679501</v>
      </c>
      <c r="N36" s="1">
        <v>378.23820182691497</v>
      </c>
      <c r="O36" s="1">
        <v>363.97018181570002</v>
      </c>
      <c r="P36">
        <f>B36*M36</f>
        <v>3.0726286729267689</v>
      </c>
      <c r="Q36">
        <f>C36/M36</f>
        <v>10.414535372254708</v>
      </c>
      <c r="R36">
        <f>1/(1/H36+1/(N36*B36))</f>
        <v>199.9936492638073</v>
      </c>
      <c r="S36">
        <f>1/(1/I36+1/(O36*B36))</f>
        <v>278.5911682858968</v>
      </c>
    </row>
    <row r="37" spans="1:19">
      <c r="A37" s="4">
        <v>1E-3</v>
      </c>
      <c r="B37" s="1">
        <v>2.56126647411301</v>
      </c>
      <c r="C37" s="1">
        <v>12.493819102161799</v>
      </c>
      <c r="D37" s="1">
        <v>51.861742326506203</v>
      </c>
      <c r="H37" s="1">
        <v>237.45624542068799</v>
      </c>
      <c r="I37" s="1">
        <v>290.04379428760097</v>
      </c>
      <c r="J37" s="1">
        <v>1.03563099252004</v>
      </c>
      <c r="K37" s="1">
        <v>303.51370254267198</v>
      </c>
      <c r="L37" s="1">
        <v>210.65370280744199</v>
      </c>
      <c r="M37" s="1">
        <v>1.0347818719745701</v>
      </c>
      <c r="N37" s="1">
        <v>427.41481028193999</v>
      </c>
      <c r="O37" s="1">
        <v>438.077360221584</v>
      </c>
      <c r="P37">
        <f>B37*M37</f>
        <v>2.6503521167083672</v>
      </c>
      <c r="Q37">
        <f>C37/M37</f>
        <v>12.073867392285393</v>
      </c>
      <c r="R37">
        <f>1/(1/H37+1/(N37*B37))</f>
        <v>195.13051545807022</v>
      </c>
      <c r="S37">
        <f>1/(1/I37+1/(O37*B37))</f>
        <v>230.46813130972899</v>
      </c>
    </row>
    <row r="38" spans="1:19">
      <c r="A38" s="4">
        <v>5.0000000000000001E-4</v>
      </c>
      <c r="B38" s="1">
        <v>2.4025155377274499</v>
      </c>
      <c r="C38" s="1">
        <v>13.3193727563855</v>
      </c>
      <c r="D38" s="1">
        <v>54.2883005705974</v>
      </c>
      <c r="H38" s="1">
        <v>234.357920569453</v>
      </c>
      <c r="I38" s="1">
        <v>274.85426072143099</v>
      </c>
      <c r="J38" s="1">
        <v>1.03334520084218</v>
      </c>
      <c r="K38" s="1">
        <v>318.76156787577099</v>
      </c>
      <c r="L38" s="1">
        <v>225.32538216999399</v>
      </c>
      <c r="M38" s="1">
        <v>1.0331511791564501</v>
      </c>
      <c r="N38" s="1">
        <v>430.05941647025998</v>
      </c>
      <c r="O38" s="1">
        <v>446.48584971140201</v>
      </c>
      <c r="P38">
        <f>B38*M38</f>
        <v>2.4821617607448077</v>
      </c>
      <c r="Q38">
        <f>C38/M38</f>
        <v>12.891988147620889</v>
      </c>
      <c r="R38">
        <f>1/(1/H38+1/(N38*B38))</f>
        <v>191.02847937013883</v>
      </c>
      <c r="S38">
        <f>1/(1/I38+1/(O38*B38))</f>
        <v>218.7930891703368</v>
      </c>
    </row>
    <row r="39" spans="1:19">
      <c r="A39" s="4">
        <v>1E-4</v>
      </c>
      <c r="B39" s="1">
        <v>2.0770245630443598</v>
      </c>
      <c r="C39" s="1">
        <v>15.4066545814443</v>
      </c>
      <c r="D39" s="1">
        <v>62.081078368603102</v>
      </c>
      <c r="H39" s="1">
        <v>228.537544662535</v>
      </c>
      <c r="I39" s="1">
        <v>252.748206294185</v>
      </c>
      <c r="J39" s="1">
        <v>1.0333029209598199</v>
      </c>
      <c r="K39" s="1">
        <v>336.01865367107899</v>
      </c>
      <c r="L39" s="1">
        <v>278.48763100819099</v>
      </c>
      <c r="M39" s="1">
        <v>1.03300419004354</v>
      </c>
      <c r="N39" s="1">
        <v>443.10683620283999</v>
      </c>
      <c r="O39" s="1">
        <v>479.28551010347502</v>
      </c>
      <c r="P39">
        <f>B39*M39</f>
        <v>2.1455750764481767</v>
      </c>
      <c r="Q39">
        <f>C39/M39</f>
        <v>14.914416349845517</v>
      </c>
      <c r="R39">
        <f>1/(1/H39+1/(N39*B39))</f>
        <v>183.07644431230381</v>
      </c>
      <c r="S39">
        <f>1/(1/I39+1/(O39*B39))</f>
        <v>201.57065923589525</v>
      </c>
    </row>
    <row r="40" spans="1:19">
      <c r="A40" s="4">
        <v>5.0000000000000002E-5</v>
      </c>
      <c r="B40" s="1">
        <v>1.96430683946421</v>
      </c>
      <c r="C40" s="1">
        <v>16.290733889990602</v>
      </c>
      <c r="D40" s="1">
        <v>68.282826955243607</v>
      </c>
      <c r="H40" s="1">
        <v>226.53298755214101</v>
      </c>
      <c r="I40" s="1">
        <v>239.88109323040001</v>
      </c>
      <c r="J40" s="1">
        <v>1.03814086744766</v>
      </c>
      <c r="K40" s="1">
        <v>331.076681212746</v>
      </c>
      <c r="L40" s="1">
        <v>293.62587425362</v>
      </c>
      <c r="M40" s="1">
        <v>1.03808213315128</v>
      </c>
      <c r="N40" s="1">
        <v>448.89183323134699</v>
      </c>
      <c r="O40" s="1">
        <v>467.10810632343299</v>
      </c>
      <c r="P40">
        <f>B40*M40</f>
        <v>2.0391118340746561</v>
      </c>
      <c r="Q40">
        <f>C40/M40</f>
        <v>15.693106903340325</v>
      </c>
      <c r="R40">
        <f>1/(1/H40+1/(N40*B40))</f>
        <v>180.23012818599426</v>
      </c>
      <c r="S40">
        <f>1/(1/I40+1/(O40*B40))</f>
        <v>190.16473860398008</v>
      </c>
    </row>
    <row r="41" spans="1:19">
      <c r="A41" s="4">
        <v>1.0000000000000001E-5</v>
      </c>
      <c r="B41" s="1">
        <v>1.8860861644845299</v>
      </c>
      <c r="C41" s="1">
        <v>16.9663510620924</v>
      </c>
      <c r="D41" s="1">
        <v>81.626248210513594</v>
      </c>
      <c r="H41" s="1">
        <v>225.75750999138901</v>
      </c>
      <c r="I41" s="1">
        <v>212.98798421160799</v>
      </c>
      <c r="J41" s="1">
        <v>1.02994744023608</v>
      </c>
      <c r="K41" s="1">
        <v>335.468071572106</v>
      </c>
      <c r="L41" s="1">
        <v>305.73400694131601</v>
      </c>
      <c r="M41" s="1">
        <v>1.02884337244708</v>
      </c>
      <c r="N41" s="1">
        <v>448.99705082542499</v>
      </c>
      <c r="O41" s="1">
        <v>488.34819844809903</v>
      </c>
      <c r="P41">
        <f>B41*M41</f>
        <v>1.9404872501940418</v>
      </c>
      <c r="Q41">
        <f>C41/M41</f>
        <v>16.490703557469907</v>
      </c>
      <c r="R41">
        <f>1/(1/H41+1/(N41*B41))</f>
        <v>178.24097721391817</v>
      </c>
      <c r="S41">
        <f>1/(1/I41+1/(O41*B41))</f>
        <v>172.98649325336135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64.000163840419404</v>
      </c>
      <c r="C46" s="1">
        <v>0.5</v>
      </c>
      <c r="D46" s="1">
        <v>20.8581025115855</v>
      </c>
      <c r="H46" s="1">
        <v>518.72593393524596</v>
      </c>
      <c r="I46" s="1">
        <v>611.56516968618496</v>
      </c>
      <c r="J46" s="1">
        <v>1.4890366721107999</v>
      </c>
      <c r="K46" s="1">
        <v>39.987173601589099</v>
      </c>
      <c r="L46" s="1">
        <v>16.279445915350902</v>
      </c>
      <c r="M46" s="1">
        <v>1.4897619823063499</v>
      </c>
      <c r="N46" s="1">
        <v>137.94800460206</v>
      </c>
      <c r="O46" s="1">
        <v>80.673837959863405</v>
      </c>
      <c r="P46">
        <f>B46*M46</f>
        <v>95.345010950834393</v>
      </c>
      <c r="Q46">
        <f>C46/M46</f>
        <v>0.33562408353711204</v>
      </c>
      <c r="R46">
        <f>1/(1/H46+1/(N46*B46))</f>
        <v>489.93974794525207</v>
      </c>
      <c r="S46">
        <f>1/(1/I46+1/(O46*B46))</f>
        <v>546.79787500090708</v>
      </c>
    </row>
    <row r="47" spans="1:19">
      <c r="A47" s="2">
        <v>1</v>
      </c>
      <c r="B47" s="1">
        <v>32</v>
      </c>
      <c r="C47" s="1">
        <v>1</v>
      </c>
      <c r="D47" s="1">
        <v>23.671883343064799</v>
      </c>
      <c r="H47" s="1">
        <v>296.16828838607501</v>
      </c>
      <c r="I47" s="1">
        <v>337.76041602393298</v>
      </c>
      <c r="J47" s="1">
        <v>1.2394350337131801</v>
      </c>
      <c r="K47" s="1">
        <v>80.339141762163806</v>
      </c>
      <c r="L47" s="1">
        <v>33.613877841625502</v>
      </c>
      <c r="M47" s="1">
        <v>1.2416970754172201</v>
      </c>
      <c r="N47" s="1">
        <v>201.97934266894001</v>
      </c>
      <c r="O47" s="1">
        <v>140.21933004993099</v>
      </c>
      <c r="P47">
        <f t="shared" ref="P47:P53" si="0">B47*M47</f>
        <v>39.734306413351042</v>
      </c>
      <c r="Q47">
        <f t="shared" ref="Q47:Q53" si="1">C47/M47</f>
        <v>0.80534940429330726</v>
      </c>
      <c r="R47">
        <f t="shared" ref="R47:R53" si="2">1/(1/H47+1/(N47*B47))</f>
        <v>283.19165388415507</v>
      </c>
      <c r="S47">
        <f t="shared" ref="S47:S53" si="3">1/(1/I47+1/(O47*B47))</f>
        <v>314.11537463202768</v>
      </c>
    </row>
    <row r="48" spans="1:19">
      <c r="A48" s="2">
        <v>2</v>
      </c>
      <c r="B48" s="1">
        <v>16</v>
      </c>
      <c r="C48" s="1">
        <v>2</v>
      </c>
      <c r="D48" s="1">
        <v>28.361358983163999</v>
      </c>
      <c r="H48" s="1">
        <v>202.16017058497999</v>
      </c>
      <c r="I48" s="1">
        <v>235.24942776737001</v>
      </c>
      <c r="J48" s="1">
        <v>1.0548230253359701</v>
      </c>
      <c r="K48" s="1">
        <v>153.678915892605</v>
      </c>
      <c r="L48" s="1">
        <v>59.763078562331401</v>
      </c>
      <c r="M48" s="1">
        <v>1.05534141586177</v>
      </c>
      <c r="N48" s="1">
        <v>304.79145637749298</v>
      </c>
      <c r="O48" s="1">
        <v>226.39386194497899</v>
      </c>
      <c r="P48">
        <f t="shared" si="0"/>
        <v>16.88546265378832</v>
      </c>
      <c r="Q48">
        <f t="shared" si="1"/>
        <v>1.8951213038169656</v>
      </c>
      <c r="R48">
        <f t="shared" si="2"/>
        <v>194.11328043586713</v>
      </c>
      <c r="S48">
        <f t="shared" si="3"/>
        <v>220.90294469440065</v>
      </c>
    </row>
    <row r="49" spans="1:19">
      <c r="A49" s="2">
        <v>4</v>
      </c>
      <c r="B49" s="1">
        <v>8</v>
      </c>
      <c r="C49" s="1">
        <v>4</v>
      </c>
      <c r="D49" s="1">
        <v>38.622028175530303</v>
      </c>
      <c r="H49" s="1">
        <v>139.39493744120199</v>
      </c>
      <c r="I49" s="1">
        <v>189.37070774658099</v>
      </c>
      <c r="J49" s="1">
        <v>1.09478808328205</v>
      </c>
      <c r="K49" s="1">
        <v>249.723521590259</v>
      </c>
      <c r="L49" s="1">
        <v>96.243518872516603</v>
      </c>
      <c r="M49" s="1">
        <v>1.0960525601783</v>
      </c>
      <c r="N49" s="1">
        <v>373.58741254479702</v>
      </c>
      <c r="O49" s="1">
        <v>352.22108149571801</v>
      </c>
      <c r="P49">
        <f t="shared" si="0"/>
        <v>8.7684204814264</v>
      </c>
      <c r="Q49">
        <f t="shared" si="1"/>
        <v>3.6494600216519739</v>
      </c>
      <c r="R49">
        <f t="shared" si="2"/>
        <v>133.18318449928771</v>
      </c>
      <c r="S49">
        <f t="shared" si="3"/>
        <v>177.44533261003542</v>
      </c>
    </row>
    <row r="50" spans="1:19">
      <c r="A50" s="2">
        <v>6</v>
      </c>
      <c r="B50" s="1">
        <v>5.3333333333333304</v>
      </c>
      <c r="C50" s="1">
        <v>6</v>
      </c>
      <c r="D50" s="1">
        <v>50.372993698511301</v>
      </c>
      <c r="H50" s="1">
        <v>123.623558459837</v>
      </c>
      <c r="I50" s="1">
        <v>173.59539979341801</v>
      </c>
      <c r="J50" s="1">
        <v>1.1373856506862701</v>
      </c>
      <c r="K50" s="1">
        <v>295.35503525133402</v>
      </c>
      <c r="L50" s="1">
        <v>130.37933645120501</v>
      </c>
      <c r="M50" s="1">
        <v>1.1388159219774401</v>
      </c>
      <c r="N50" s="1">
        <v>398.59207448215699</v>
      </c>
      <c r="O50" s="1">
        <v>402.74224091445001</v>
      </c>
      <c r="P50">
        <f t="shared" si="0"/>
        <v>6.0736849172130105</v>
      </c>
      <c r="Q50">
        <f t="shared" si="1"/>
        <v>5.2686302362032302</v>
      </c>
      <c r="R50">
        <f t="shared" si="2"/>
        <v>116.82954299148157</v>
      </c>
      <c r="S50">
        <f t="shared" si="3"/>
        <v>160.61471418553006</v>
      </c>
    </row>
    <row r="51" spans="1:19">
      <c r="A51" s="2">
        <v>8</v>
      </c>
      <c r="B51" s="1">
        <v>4</v>
      </c>
      <c r="C51" s="1">
        <v>8</v>
      </c>
      <c r="D51" s="1">
        <v>62.160091672510099</v>
      </c>
      <c r="H51" s="1">
        <v>115.778610621296</v>
      </c>
      <c r="I51" s="1">
        <v>166.08692277243401</v>
      </c>
      <c r="J51" s="1">
        <v>1.1599817013059199</v>
      </c>
      <c r="K51" s="1">
        <v>281.67845852311399</v>
      </c>
      <c r="L51" s="1">
        <v>163.64068521964401</v>
      </c>
      <c r="M51" s="1">
        <v>1.1612428036228699</v>
      </c>
      <c r="N51" s="1">
        <v>424.61492214179799</v>
      </c>
      <c r="O51" s="1">
        <v>419.64927024225199</v>
      </c>
      <c r="P51">
        <f t="shared" si="0"/>
        <v>4.6449712144914796</v>
      </c>
      <c r="Q51">
        <f t="shared" si="1"/>
        <v>6.8891707875746837</v>
      </c>
      <c r="R51">
        <f t="shared" si="2"/>
        <v>108.39000754561756</v>
      </c>
      <c r="S51">
        <f t="shared" si="3"/>
        <v>151.13321478772332</v>
      </c>
    </row>
    <row r="52" spans="1:19">
      <c r="A52" s="2">
        <v>12</v>
      </c>
      <c r="B52" s="1">
        <v>2.6666666666666599</v>
      </c>
      <c r="C52" s="1">
        <v>12</v>
      </c>
      <c r="D52" s="1">
        <v>86.056820848934294</v>
      </c>
      <c r="H52" s="1">
        <v>104.95836210898899</v>
      </c>
      <c r="I52" s="1">
        <v>153.55332987151701</v>
      </c>
      <c r="J52" s="1">
        <v>1.1835059324025401</v>
      </c>
      <c r="K52" s="1">
        <v>337.88880261485002</v>
      </c>
      <c r="L52" s="1">
        <v>243.46347252310201</v>
      </c>
      <c r="M52" s="1">
        <v>1.1846365057447501</v>
      </c>
      <c r="N52" s="1">
        <v>450.080626825813</v>
      </c>
      <c r="O52" s="1">
        <v>459.42988270552303</v>
      </c>
      <c r="P52">
        <f t="shared" si="0"/>
        <v>3.1590306819859921</v>
      </c>
      <c r="Q52">
        <f t="shared" si="1"/>
        <v>10.129689522319687</v>
      </c>
      <c r="R52">
        <f t="shared" si="2"/>
        <v>96.517906568503804</v>
      </c>
      <c r="S52">
        <f t="shared" si="3"/>
        <v>136.45125507416273</v>
      </c>
    </row>
    <row r="53" spans="1:19">
      <c r="A53" s="2">
        <v>16</v>
      </c>
      <c r="B53" s="1">
        <v>2</v>
      </c>
      <c r="C53" s="1">
        <v>16</v>
      </c>
      <c r="D53" s="1">
        <v>110.13437955077799</v>
      </c>
      <c r="H53" s="1">
        <v>113.64188030331999</v>
      </c>
      <c r="I53" s="1">
        <v>145.117834923918</v>
      </c>
      <c r="J53" s="1">
        <v>1.19567489593127</v>
      </c>
      <c r="K53" s="1">
        <v>359.34209420560501</v>
      </c>
      <c r="L53" s="1">
        <v>288.31393562705802</v>
      </c>
      <c r="M53" s="1">
        <v>1.1968519078780999</v>
      </c>
      <c r="N53" s="1">
        <v>474.19411270488001</v>
      </c>
      <c r="O53" s="1">
        <v>507.22368250093803</v>
      </c>
      <c r="P53">
        <f t="shared" si="0"/>
        <v>2.3937038157561998</v>
      </c>
      <c r="Q53">
        <f t="shared" si="1"/>
        <v>13.368404139795723</v>
      </c>
      <c r="R53">
        <f t="shared" si="2"/>
        <v>101.48170057828015</v>
      </c>
      <c r="S53">
        <f t="shared" si="3"/>
        <v>126.95655687387546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0.01</v>
      </c>
      <c r="B58" s="1">
        <v>11.4619283945735</v>
      </c>
      <c r="C58" s="1">
        <v>2.79185132714227</v>
      </c>
      <c r="D58" s="1">
        <v>45.997105434116797</v>
      </c>
      <c r="F58" s="1">
        <v>106.0685</v>
      </c>
      <c r="G58" s="1">
        <v>108.332761538461</v>
      </c>
      <c r="H58" s="1">
        <v>183.04949709772799</v>
      </c>
      <c r="I58" s="1">
        <v>147.718687821316</v>
      </c>
      <c r="J58" s="1">
        <v>1.5412693531239099</v>
      </c>
      <c r="K58" s="1">
        <v>178.92006736423099</v>
      </c>
      <c r="L58" s="1">
        <v>69.581019597294599</v>
      </c>
      <c r="M58" s="1">
        <v>1.54251951913282</v>
      </c>
      <c r="N58" s="1">
        <v>303.51220165505202</v>
      </c>
      <c r="O58" s="1">
        <v>192.707489774908</v>
      </c>
      <c r="P58">
        <f>B58*M58</f>
        <v>17.680248275532332</v>
      </c>
      <c r="Q58">
        <f>C58/M58</f>
        <v>1.8099293347754877</v>
      </c>
      <c r="R58">
        <f>1/(1/H58+1/(N58*B58))</f>
        <v>173.89925838985096</v>
      </c>
      <c r="S58">
        <f>1/(1/I58+1/(O58*B58))</f>
        <v>138.45892003441077</v>
      </c>
    </row>
    <row r="59" spans="1:19">
      <c r="A59" s="2">
        <v>5.0000000000000001E-3</v>
      </c>
      <c r="B59" s="1">
        <v>9.9380100316659501</v>
      </c>
      <c r="C59" s="1">
        <v>3.2199605250987702</v>
      </c>
      <c r="D59" s="1">
        <v>51.848323645932801</v>
      </c>
      <c r="F59" s="1">
        <v>111.67326153846101</v>
      </c>
      <c r="G59" s="1">
        <v>113.410299999999</v>
      </c>
      <c r="H59" s="1">
        <v>183.61353197896301</v>
      </c>
      <c r="I59" s="1">
        <v>149.95878707613701</v>
      </c>
      <c r="J59" s="1">
        <v>1.4159349445509199</v>
      </c>
      <c r="K59" s="1">
        <v>186.49777925591499</v>
      </c>
      <c r="L59" s="1">
        <v>81.224975071614693</v>
      </c>
      <c r="M59" s="1">
        <v>1.4176044998737301</v>
      </c>
      <c r="N59" s="1">
        <v>314.76263861110903</v>
      </c>
      <c r="O59" s="1">
        <v>203.70021800993899</v>
      </c>
      <c r="P59">
        <f>B59*M59</f>
        <v>14.088167740679921</v>
      </c>
      <c r="Q59">
        <f>C59/M59</f>
        <v>2.2714096388559581</v>
      </c>
      <c r="R59">
        <f>1/(1/H59+1/(N59*B59))</f>
        <v>173.43336886099277</v>
      </c>
      <c r="S59">
        <f>1/(1/I59+1/(O59*B59))</f>
        <v>139.61647444700759</v>
      </c>
    </row>
    <row r="60" spans="1:19">
      <c r="A60" s="2">
        <v>1E-3</v>
      </c>
      <c r="B60" s="1">
        <v>7.4517125974157903</v>
      </c>
      <c r="C60" s="1">
        <v>4.2943148412751899</v>
      </c>
      <c r="D60" s="1">
        <v>65.654161684413495</v>
      </c>
      <c r="F60" s="1">
        <v>121.5866</v>
      </c>
      <c r="G60" s="1">
        <v>127.276407692307</v>
      </c>
      <c r="H60" s="1">
        <v>183.06574473549301</v>
      </c>
      <c r="I60" s="1">
        <v>147.56251482000101</v>
      </c>
      <c r="J60" s="1">
        <v>1.3087410582033701</v>
      </c>
      <c r="K60" s="1">
        <v>222.40873830574699</v>
      </c>
      <c r="L60" s="1">
        <v>101.352761238304</v>
      </c>
      <c r="M60" s="1">
        <v>1.30972380076427</v>
      </c>
      <c r="N60" s="1">
        <v>338.49504214385502</v>
      </c>
      <c r="O60" s="1">
        <v>227.81413844482799</v>
      </c>
      <c r="P60">
        <f>B60*M60</f>
        <v>9.7596853452904</v>
      </c>
      <c r="Q60">
        <f>C60/M60</f>
        <v>3.2787942303326134</v>
      </c>
      <c r="R60">
        <f>1/(1/H60+1/(N60*B60))</f>
        <v>170.67842613510331</v>
      </c>
      <c r="S60">
        <f>1/(1/I60+1/(O60*B60))</f>
        <v>135.7615862441935</v>
      </c>
    </row>
    <row r="61" spans="1:19">
      <c r="A61" s="2">
        <v>5.0000000000000001E-4</v>
      </c>
      <c r="B61" s="1">
        <v>6.6139717134848599</v>
      </c>
      <c r="C61" s="1">
        <v>4.8382426454526399</v>
      </c>
      <c r="D61" s="1">
        <v>71.552214982662505</v>
      </c>
      <c r="F61" s="1">
        <v>122.175653846153</v>
      </c>
      <c r="G61" s="1">
        <v>115.65633076923</v>
      </c>
      <c r="H61" s="1">
        <v>185.091409883392</v>
      </c>
      <c r="I61" s="1">
        <v>149.402718001191</v>
      </c>
      <c r="J61" s="1">
        <v>1.2908639171971099</v>
      </c>
      <c r="K61" s="1">
        <v>224.91775970432101</v>
      </c>
      <c r="L61" s="1">
        <v>106.17732587240801</v>
      </c>
      <c r="M61" s="1">
        <v>1.29096953844436</v>
      </c>
      <c r="N61" s="1">
        <v>334.42910738432198</v>
      </c>
      <c r="O61" s="1">
        <v>231.34831811942101</v>
      </c>
      <c r="P61">
        <f>B61*M61</f>
        <v>8.5384360102416021</v>
      </c>
      <c r="Q61">
        <f>C61/M61</f>
        <v>3.7477589527656892</v>
      </c>
      <c r="R61">
        <f>1/(1/H61+1/(N61*B61))</f>
        <v>170.79900845043645</v>
      </c>
      <c r="S61">
        <f>1/(1/I61+1/(O61*B61))</f>
        <v>136.11261919367809</v>
      </c>
    </row>
    <row r="62" spans="1:19">
      <c r="A62" s="2">
        <v>1E-4</v>
      </c>
      <c r="B62" s="1">
        <v>5.0151118250137001</v>
      </c>
      <c r="C62" s="1">
        <v>6.3807151498386601</v>
      </c>
      <c r="D62" s="1">
        <v>85.608277438578497</v>
      </c>
      <c r="F62" s="1">
        <v>120.128915384615</v>
      </c>
      <c r="G62" s="1">
        <v>120.853592307692</v>
      </c>
      <c r="H62" s="1">
        <v>184.809114656682</v>
      </c>
      <c r="I62" s="1">
        <v>149.07125387196501</v>
      </c>
      <c r="J62" s="1">
        <v>1.26268938420336</v>
      </c>
      <c r="K62" s="1">
        <v>251.58947374252901</v>
      </c>
      <c r="L62" s="1">
        <v>137.72710157829499</v>
      </c>
      <c r="M62" s="1">
        <v>1.2644945766323701</v>
      </c>
      <c r="N62" s="1">
        <v>343.62960722031102</v>
      </c>
      <c r="O62" s="1">
        <v>248.08408659511699</v>
      </c>
      <c r="P62">
        <f>B62*M62</f>
        <v>6.3415817039346916</v>
      </c>
      <c r="Q62">
        <f>C62/M62</f>
        <v>5.046059720423572</v>
      </c>
      <c r="R62">
        <f>1/(1/H62+1/(N62*B62))</f>
        <v>166.90988845340087</v>
      </c>
      <c r="S62">
        <f>1/(1/I62+1/(O62*B62))</f>
        <v>133.12121818321282</v>
      </c>
    </row>
    <row r="63" spans="1:19">
      <c r="A63" s="2">
        <v>5.0000000000000002E-5</v>
      </c>
      <c r="B63" s="1">
        <v>4.4759278448395596</v>
      </c>
      <c r="C63" s="1">
        <v>7.1493556440803196</v>
      </c>
      <c r="D63" s="1">
        <v>67.0549340347374</v>
      </c>
      <c r="F63" s="1">
        <v>124.80006153846099</v>
      </c>
      <c r="G63" s="1">
        <v>124.74346153846101</v>
      </c>
      <c r="H63" s="1">
        <v>182.999692869716</v>
      </c>
      <c r="I63" s="1">
        <v>147.613069460703</v>
      </c>
      <c r="J63" s="1">
        <v>1.2459603874844301</v>
      </c>
      <c r="K63" s="1">
        <v>243.5609517668</v>
      </c>
      <c r="L63" s="1">
        <v>152.10016662184501</v>
      </c>
      <c r="M63" s="1">
        <v>1.24800985021735</v>
      </c>
      <c r="N63" s="1">
        <v>358.47862986622403</v>
      </c>
      <c r="O63" s="1">
        <v>268.32552573972703</v>
      </c>
      <c r="P63">
        <f>B63*M63</f>
        <v>5.586002039221885</v>
      </c>
      <c r="Q63">
        <f>C63/M63</f>
        <v>5.7286051410853904</v>
      </c>
      <c r="R63">
        <f>1/(1/H63+1/(N63*B63))</f>
        <v>164.26490422951571</v>
      </c>
      <c r="S63">
        <f>1/(1/I63+1/(O63*B63))</f>
        <v>131.45608062439666</v>
      </c>
    </row>
    <row r="64" spans="1:19">
      <c r="A64" s="4">
        <v>1.0000000000000001E-5</v>
      </c>
      <c r="B64" s="1">
        <v>3.5984403630278199</v>
      </c>
      <c r="C64" s="1">
        <v>8.8927415134578691</v>
      </c>
      <c r="D64" s="1">
        <v>5.0189939169686797</v>
      </c>
      <c r="F64" s="1">
        <v>120.53873076923</v>
      </c>
      <c r="G64" s="1">
        <v>116.30202307692301</v>
      </c>
      <c r="H64" s="1">
        <v>177.913452174865</v>
      </c>
      <c r="I64" s="1">
        <v>143.94664916376101</v>
      </c>
      <c r="J64" s="1">
        <v>1.19991066319117</v>
      </c>
      <c r="K64" s="1">
        <v>271.61486916349901</v>
      </c>
      <c r="L64" s="1">
        <v>177.78052876911201</v>
      </c>
      <c r="M64" s="1">
        <v>1.2006258029702599</v>
      </c>
      <c r="N64" s="1">
        <v>367.57857514457498</v>
      </c>
      <c r="O64" s="1">
        <v>288.65420229453201</v>
      </c>
      <c r="P64">
        <f>B64*M64</f>
        <v>4.3203803503008702</v>
      </c>
      <c r="Q64">
        <f>C64/M64</f>
        <v>7.4067552866662378</v>
      </c>
      <c r="R64">
        <f>1/(1/H64+1/(N64*B64))</f>
        <v>156.82008244982546</v>
      </c>
      <c r="S64">
        <f>1/(1/I64+1/(O64*B64))</f>
        <v>126.42615696907262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4EC2-4C18-4F5D-AB37-F60172C85C1B}">
  <dimension ref="A1:U113"/>
  <sheetViews>
    <sheetView tabSelected="1" topLeftCell="A47" workbookViewId="0">
      <selection activeCell="J55" sqref="J55"/>
    </sheetView>
  </sheetViews>
  <sheetFormatPr defaultRowHeight="15"/>
  <cols>
    <col min="1" max="1" width="8.7109375" style="5"/>
    <col min="2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5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0.01</v>
      </c>
      <c r="B3" s="1">
        <v>20.776601378437299</v>
      </c>
      <c r="C3" s="1">
        <v>1.5401941548154501</v>
      </c>
      <c r="D3" s="1">
        <v>45.417602510623603</v>
      </c>
      <c r="F3" s="1">
        <v>68.584999999999994</v>
      </c>
      <c r="G3" s="1">
        <v>68.584999999999994</v>
      </c>
      <c r="H3" s="1">
        <v>115.92931923633201</v>
      </c>
      <c r="I3" s="1">
        <v>70.190268318738106</v>
      </c>
      <c r="J3" s="1">
        <v>1.3386990846625699</v>
      </c>
      <c r="K3" s="1">
        <v>234.252311642271</v>
      </c>
      <c r="L3" s="1">
        <v>127.946390587457</v>
      </c>
      <c r="M3" s="1">
        <v>1.3406501680279901</v>
      </c>
      <c r="N3" s="1">
        <v>329.92004692688698</v>
      </c>
      <c r="O3" s="1">
        <v>284.86655375899102</v>
      </c>
      <c r="P3">
        <f>B3*M3</f>
        <v>27.854154129052535</v>
      </c>
      <c r="Q3">
        <f>C3/M3</f>
        <v>1.1488412052198347</v>
      </c>
      <c r="R3">
        <f>1/(1/H3+1/(N3*B3))</f>
        <v>114.00126283138287</v>
      </c>
      <c r="S3">
        <f>1/(1/I3+1/(O3*B3))</f>
        <v>69.36761342321735</v>
      </c>
    </row>
    <row r="4" spans="1:19">
      <c r="A4" s="2">
        <v>5.0000000000000001E-3</v>
      </c>
      <c r="B4" s="1">
        <v>18.163790627054102</v>
      </c>
      <c r="C4" s="1">
        <v>1.76174679927974</v>
      </c>
      <c r="D4" s="1">
        <v>51.263930166983698</v>
      </c>
      <c r="F4" s="1">
        <v>68.378333333333302</v>
      </c>
      <c r="G4" s="1">
        <v>68.378333333333302</v>
      </c>
      <c r="H4" s="1">
        <v>114.18335062546799</v>
      </c>
      <c r="I4" s="1">
        <v>68.940512212640996</v>
      </c>
      <c r="J4" s="1">
        <v>1.18526933846383</v>
      </c>
      <c r="K4" s="1">
        <v>242.851353321863</v>
      </c>
      <c r="L4" s="1">
        <v>147.65060059181701</v>
      </c>
      <c r="M4" s="1">
        <v>1.18622150676876</v>
      </c>
      <c r="N4" s="1">
        <v>329.14385857407899</v>
      </c>
      <c r="O4" s="1">
        <v>300.93208421904097</v>
      </c>
      <c r="P4">
        <f>B4*M4</f>
        <v>21.546279086256398</v>
      </c>
      <c r="Q4">
        <f>C4/M4</f>
        <v>1.4851752301125425</v>
      </c>
      <c r="R4">
        <f>1/(1/H4+1/(N4*B4))</f>
        <v>112.04343352745802</v>
      </c>
      <c r="S4">
        <f>1/(1/I4+1/(O4*B4))</f>
        <v>68.081833358939861</v>
      </c>
    </row>
    <row r="5" spans="1:19">
      <c r="A5" s="2">
        <v>1E-3</v>
      </c>
      <c r="B5" s="1">
        <v>12.711155866304299</v>
      </c>
      <c r="C5" s="1">
        <v>2.5174736535823401</v>
      </c>
      <c r="D5" s="1">
        <v>64.590571417705604</v>
      </c>
      <c r="F5" s="1">
        <v>63.44</v>
      </c>
      <c r="G5" s="1">
        <v>63.44</v>
      </c>
      <c r="H5" s="1">
        <v>108.790776187764</v>
      </c>
      <c r="I5" s="1">
        <v>63.956814151195502</v>
      </c>
      <c r="J5" s="1">
        <v>1.03049695014846</v>
      </c>
      <c r="K5" s="1">
        <v>265.050693360482</v>
      </c>
      <c r="L5" s="1">
        <v>175.942511569902</v>
      </c>
      <c r="M5" s="1">
        <v>1.03216783216783</v>
      </c>
      <c r="N5" s="1">
        <v>368.35310204400201</v>
      </c>
      <c r="O5" s="1">
        <v>423.89087255307697</v>
      </c>
      <c r="P5">
        <f>B5*M5</f>
        <v>13.120046194870705</v>
      </c>
      <c r="Q5">
        <f>C5/M5</f>
        <v>2.4390158025899416</v>
      </c>
      <c r="R5">
        <f>1/(1/H5+1/(N5*B5))</f>
        <v>106.32042107444948</v>
      </c>
      <c r="S5">
        <f>1/(1/I5+1/(O5*B5))</f>
        <v>63.206557506540605</v>
      </c>
    </row>
    <row r="6" spans="1:19">
      <c r="A6" s="4">
        <v>5.0000000000000001E-4</v>
      </c>
      <c r="B6" s="1">
        <v>18.8262222700412</v>
      </c>
      <c r="C6" s="1">
        <v>1.6997568360234701</v>
      </c>
      <c r="D6" s="1">
        <v>70.850725808359599</v>
      </c>
      <c r="F6" s="1">
        <v>64.39</v>
      </c>
      <c r="G6" s="1">
        <v>64.39</v>
      </c>
      <c r="H6" s="1">
        <v>108.93382115694401</v>
      </c>
      <c r="I6" s="1">
        <v>64.882212240641607</v>
      </c>
      <c r="J6" s="1">
        <v>1.0116122111772201</v>
      </c>
      <c r="K6" s="1">
        <v>261.88152623172601</v>
      </c>
      <c r="L6" s="1">
        <v>145.35978415290799</v>
      </c>
      <c r="M6" s="1">
        <v>1.01204819277108</v>
      </c>
      <c r="N6" s="1">
        <v>360.98353634304499</v>
      </c>
      <c r="O6" s="1">
        <v>450.32315681759502</v>
      </c>
      <c r="P6">
        <f>B6*M6</f>
        <v>19.053044225101857</v>
      </c>
      <c r="Q6">
        <f>C6/M6</f>
        <v>1.6795216355946263</v>
      </c>
      <c r="R6">
        <f>1/(1/H6+1/(N6*B6))</f>
        <v>107.21524530721011</v>
      </c>
      <c r="S6">
        <f>1/(1/I6+1/(O6*B6))</f>
        <v>64.389432567439144</v>
      </c>
    </row>
    <row r="7" spans="1:19">
      <c r="A7" s="4">
        <v>1E-4</v>
      </c>
      <c r="B7" s="1">
        <v>10.3298464459315</v>
      </c>
      <c r="C7" s="1">
        <v>3.0978195239875199</v>
      </c>
      <c r="D7" s="1">
        <v>84.771016838298806</v>
      </c>
      <c r="F7" s="1">
        <v>55.94</v>
      </c>
      <c r="G7" s="1">
        <v>55.94</v>
      </c>
      <c r="H7" s="1">
        <v>102.88105371115201</v>
      </c>
      <c r="I7" s="1">
        <v>56.3413342942548</v>
      </c>
      <c r="J7" s="1">
        <v>0.99921964242138805</v>
      </c>
      <c r="K7" s="1">
        <v>281.51616508444198</v>
      </c>
      <c r="L7" s="1">
        <v>216.65102019835501</v>
      </c>
      <c r="M7" s="1">
        <v>1</v>
      </c>
      <c r="N7" s="1">
        <v>393.64044109945598</v>
      </c>
      <c r="O7" s="1">
        <v>478.63435998428798</v>
      </c>
      <c r="P7">
        <f>B7*M7</f>
        <v>10.3298464459315</v>
      </c>
      <c r="Q7">
        <f>C7/M7</f>
        <v>3.0978195239875199</v>
      </c>
      <c r="R7">
        <f>1/(1/H7+1/(N7*B7))</f>
        <v>100.34226973445983</v>
      </c>
      <c r="S7">
        <f>1/(1/I7+1/(O7*B7))</f>
        <v>55.706536300225551</v>
      </c>
    </row>
    <row r="8" spans="1:19">
      <c r="A8" s="4">
        <v>5.0000000000000002E-5</v>
      </c>
      <c r="B8" s="1">
        <v>8.3617334988135301</v>
      </c>
      <c r="C8" s="1">
        <v>3.82695765232658</v>
      </c>
      <c r="D8" s="1">
        <v>90.792014324597204</v>
      </c>
      <c r="F8" s="1">
        <v>53.624000000000002</v>
      </c>
      <c r="G8" s="1">
        <v>53.624000000000002</v>
      </c>
      <c r="H8" s="1">
        <v>101.788801596292</v>
      </c>
      <c r="I8" s="1">
        <v>54.0074234944883</v>
      </c>
      <c r="J8" s="1">
        <v>1.00019880544246</v>
      </c>
      <c r="K8" s="1">
        <v>303.63828925989299</v>
      </c>
      <c r="L8" s="1">
        <v>234.620779670714</v>
      </c>
      <c r="M8" s="1">
        <v>1</v>
      </c>
      <c r="N8" s="1">
        <v>398.90595621063397</v>
      </c>
      <c r="O8" s="1">
        <v>500.26990755138502</v>
      </c>
      <c r="P8">
        <f>B8*M8</f>
        <v>8.3617334988135301</v>
      </c>
      <c r="Q8">
        <f>C8/M8</f>
        <v>3.82695765232658</v>
      </c>
      <c r="R8">
        <f>1/(1/H8+1/(N8*B8))</f>
        <v>98.774558629664639</v>
      </c>
      <c r="S8">
        <f>1/(1/I8+1/(O8*B8))</f>
        <v>53.319032754206539</v>
      </c>
    </row>
    <row r="9" spans="1:19">
      <c r="A9" s="4">
        <v>1.0000000000000001E-5</v>
      </c>
      <c r="B9" s="1">
        <v>5.3194312629145299</v>
      </c>
      <c r="C9" s="1">
        <v>6.01568070314101</v>
      </c>
      <c r="D9" s="1">
        <v>104.77131042573799</v>
      </c>
      <c r="F9" s="1">
        <v>49.351999999999997</v>
      </c>
      <c r="G9" s="1">
        <v>49.351999999999997</v>
      </c>
      <c r="H9" s="1">
        <v>98.522551587730206</v>
      </c>
      <c r="I9" s="1">
        <v>49.838296232168801</v>
      </c>
      <c r="J9" s="1">
        <v>1.0013788916994999</v>
      </c>
      <c r="K9" s="1">
        <v>312.64503164243899</v>
      </c>
      <c r="L9" s="1">
        <v>281.58455922439703</v>
      </c>
      <c r="M9" s="1">
        <v>1</v>
      </c>
      <c r="N9" s="1">
        <v>407.55745126727902</v>
      </c>
      <c r="O9" s="1">
        <v>514.058735524658</v>
      </c>
      <c r="P9">
        <f>B9*M9</f>
        <v>5.3194312629145299</v>
      </c>
      <c r="Q9">
        <f>C9/M9</f>
        <v>6.01568070314101</v>
      </c>
      <c r="R9">
        <f>1/(1/H9+1/(N9*B9))</f>
        <v>94.239865246650524</v>
      </c>
      <c r="S9">
        <f>1/(1/I9+1/(O9*B9))</f>
        <v>48.946215094723748</v>
      </c>
    </row>
    <row r="10" spans="1:19">
      <c r="A10" s="6"/>
    </row>
    <row r="11" spans="1:19">
      <c r="A11" s="6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0.01</v>
      </c>
      <c r="B13" s="1">
        <v>22.039126929517501</v>
      </c>
      <c r="C13" s="1">
        <v>1.4519631427477999</v>
      </c>
      <c r="D13" s="1">
        <v>51.437552483464501</v>
      </c>
      <c r="F13" s="1">
        <v>54.556666666666601</v>
      </c>
      <c r="G13" s="1">
        <v>54.556666666666601</v>
      </c>
      <c r="H13" s="1">
        <v>69.705487472454905</v>
      </c>
      <c r="I13" s="1">
        <v>52.566082085488503</v>
      </c>
      <c r="J13" s="1">
        <v>2.8727799696409</v>
      </c>
      <c r="K13" s="1">
        <v>249.20303642976199</v>
      </c>
      <c r="L13" s="1">
        <v>127.93827645831099</v>
      </c>
      <c r="M13" s="1">
        <v>2.8768093709146898</v>
      </c>
      <c r="N13" s="1">
        <v>353.56646501929998</v>
      </c>
      <c r="O13" s="1">
        <v>252.35186934834499</v>
      </c>
      <c r="P13">
        <f>B13*M13</f>
        <v>63.402366877614242</v>
      </c>
      <c r="Q13">
        <f>C13/M13</f>
        <v>0.50471301902292676</v>
      </c>
      <c r="R13">
        <f>1/(1/H13+1/(N13*B13))</f>
        <v>69.087469927234125</v>
      </c>
      <c r="S13">
        <f>1/(1/I13+1/(O13*B13))</f>
        <v>52.073901123609943</v>
      </c>
    </row>
    <row r="14" spans="1:19">
      <c r="A14" s="2">
        <v>5.0000000000000001E-3</v>
      </c>
      <c r="B14" s="1">
        <v>19.703337218977101</v>
      </c>
      <c r="C14" s="1">
        <v>1.62409035811351</v>
      </c>
      <c r="D14" s="1">
        <v>56.408629792193203</v>
      </c>
      <c r="F14" s="1">
        <v>54.145000000000003</v>
      </c>
      <c r="G14" s="1">
        <v>54.145000000000003</v>
      </c>
      <c r="H14" s="1">
        <v>69.138460377585801</v>
      </c>
      <c r="I14" s="1">
        <v>52.166398355326997</v>
      </c>
      <c r="J14" s="1">
        <v>2.2870001338532502</v>
      </c>
      <c r="K14" s="1">
        <v>240.598446714316</v>
      </c>
      <c r="L14" s="1">
        <v>135.26225204586501</v>
      </c>
      <c r="M14" s="1">
        <v>2.2881272023296502</v>
      </c>
      <c r="N14" s="1">
        <v>340.09357482075899</v>
      </c>
      <c r="O14" s="1">
        <v>259.093483057691</v>
      </c>
      <c r="P14">
        <f>B14*M14</f>
        <v>45.083741867415746</v>
      </c>
      <c r="Q14">
        <f>C14/M14</f>
        <v>0.70979024088343823</v>
      </c>
      <c r="R14">
        <f>1/(1/H14+1/(N14*B14))</f>
        <v>68.432397718915212</v>
      </c>
      <c r="S14">
        <f>1/(1/I14+1/(O14*B14))</f>
        <v>51.638719083473283</v>
      </c>
    </row>
    <row r="15" spans="1:19">
      <c r="A15" s="4">
        <v>1E-3</v>
      </c>
      <c r="B15" s="1">
        <v>14.385707180797001</v>
      </c>
      <c r="C15" s="1">
        <v>2.2244300956379499</v>
      </c>
      <c r="D15" s="1">
        <v>68.708261674061504</v>
      </c>
      <c r="F15" s="1">
        <v>51.57</v>
      </c>
      <c r="G15" s="1">
        <v>51.57</v>
      </c>
      <c r="H15" s="1">
        <v>68.678402105188397</v>
      </c>
      <c r="I15" s="1">
        <v>49.781865683844799</v>
      </c>
      <c r="J15" s="1">
        <v>1.5416904514845</v>
      </c>
      <c r="K15" s="1">
        <v>250.14507409933699</v>
      </c>
      <c r="L15" s="1">
        <v>140.75160388187501</v>
      </c>
      <c r="M15" s="1">
        <v>1.54483755934676</v>
      </c>
      <c r="N15" s="1">
        <v>327.13525218738602</v>
      </c>
      <c r="O15" s="1">
        <v>254.28607709184101</v>
      </c>
      <c r="P15">
        <f>B15*M15</f>
        <v>22.223580770659598</v>
      </c>
      <c r="Q15">
        <f>C15/M15</f>
        <v>1.4399119714428474</v>
      </c>
      <c r="R15">
        <f>1/(1/H15+1/(N15*B15))</f>
        <v>67.690555082544449</v>
      </c>
      <c r="S15">
        <f>1/(1/I15+1/(O15*B15))</f>
        <v>49.113493757200921</v>
      </c>
    </row>
    <row r="16" spans="1:19">
      <c r="A16" s="4">
        <v>5.0000000000000001E-4</v>
      </c>
      <c r="B16" s="1">
        <v>11.744893765127999</v>
      </c>
      <c r="C16" s="1">
        <v>2.7245882883174</v>
      </c>
      <c r="D16" s="1">
        <v>73.001681450388006</v>
      </c>
      <c r="F16" s="1">
        <v>49.71</v>
      </c>
      <c r="G16" s="1">
        <v>49.71</v>
      </c>
      <c r="H16" s="1">
        <v>67.098677171631394</v>
      </c>
      <c r="I16" s="1">
        <v>48.148047391505699</v>
      </c>
      <c r="J16" s="1">
        <v>1.19999213847371</v>
      </c>
      <c r="K16" s="1">
        <v>234.59061560352899</v>
      </c>
      <c r="L16" s="1">
        <v>164.932453177919</v>
      </c>
      <c r="M16" s="1">
        <v>1.2002768106589199</v>
      </c>
      <c r="N16" s="1">
        <v>338.12394355651901</v>
      </c>
      <c r="O16" s="1">
        <v>299.24270211047798</v>
      </c>
      <c r="P16">
        <f>B16*M16</f>
        <v>14.097123629935668</v>
      </c>
      <c r="Q16">
        <f>C16/M16</f>
        <v>2.269966614469269</v>
      </c>
      <c r="R16">
        <f>1/(1/H16+1/(N16*B16))</f>
        <v>65.983801918784536</v>
      </c>
      <c r="S16">
        <f>1/(1/I16+1/(O16*B16))</f>
        <v>47.497355420065702</v>
      </c>
    </row>
    <row r="17" spans="1:19">
      <c r="A17" s="4">
        <v>1E-4</v>
      </c>
      <c r="B17" s="1">
        <v>11.2060137224441</v>
      </c>
      <c r="C17" s="1">
        <v>2.8556095675581998</v>
      </c>
      <c r="D17" s="1">
        <v>85.752986979018004</v>
      </c>
      <c r="F17" s="1">
        <v>47.494999999999997</v>
      </c>
      <c r="G17" s="1">
        <v>47.494999999999997</v>
      </c>
      <c r="H17" s="1">
        <v>65.582707454683899</v>
      </c>
      <c r="I17" s="1">
        <v>45.980323306179599</v>
      </c>
      <c r="J17" s="1">
        <v>1.0555446699584701</v>
      </c>
      <c r="K17" s="1">
        <v>280.582493736809</v>
      </c>
      <c r="L17" s="1">
        <v>196.266294224283</v>
      </c>
      <c r="M17" s="1">
        <v>1.05613305613305</v>
      </c>
      <c r="N17" s="1">
        <v>371.18982770871497</v>
      </c>
      <c r="O17" s="1">
        <v>422.291997681228</v>
      </c>
      <c r="P17">
        <f>B17*M17</f>
        <v>11.835041519753782</v>
      </c>
      <c r="Q17">
        <f>C17/M17</f>
        <v>2.7038350432982323</v>
      </c>
      <c r="R17">
        <f>1/(1/H17+1/(N17*B17))</f>
        <v>64.564731603343148</v>
      </c>
      <c r="S17">
        <f>1/(1/I17+1/(O17*B17))</f>
        <v>45.537856593200353</v>
      </c>
    </row>
    <row r="18" spans="1:19">
      <c r="A18" s="4">
        <v>5.0000000000000002E-5</v>
      </c>
      <c r="B18" s="1">
        <v>9.1534717665695098</v>
      </c>
      <c r="C18" s="1">
        <v>3.49594130140555</v>
      </c>
      <c r="D18" s="1">
        <v>91.241665104474606</v>
      </c>
      <c r="F18" s="1">
        <v>45.82</v>
      </c>
      <c r="G18" s="1">
        <v>45.82</v>
      </c>
      <c r="H18" s="1">
        <v>64.310761489966296</v>
      </c>
      <c r="I18" s="1">
        <v>44.410317715406698</v>
      </c>
      <c r="J18" s="1">
        <v>1.0092399297560499</v>
      </c>
      <c r="K18" s="1">
        <v>284.29775290649701</v>
      </c>
      <c r="L18" s="1">
        <v>247.44630054685999</v>
      </c>
      <c r="M18" s="1">
        <v>1.0096153846153799</v>
      </c>
      <c r="N18" s="1">
        <v>383.65249109832598</v>
      </c>
      <c r="O18" s="1">
        <v>450.14797764131998</v>
      </c>
      <c r="P18">
        <f>B18*M18</f>
        <v>9.2414859181710973</v>
      </c>
      <c r="Q18">
        <f>C18/M18</f>
        <v>3.4626466223445611</v>
      </c>
      <c r="R18">
        <f>1/(1/H18+1/(N18*B18))</f>
        <v>63.154217537748025</v>
      </c>
      <c r="S18">
        <f>1/(1/I18+1/(O18*B18))</f>
        <v>43.936762328378997</v>
      </c>
    </row>
    <row r="19" spans="1:19">
      <c r="A19" s="4">
        <v>1.0000000000000001E-5</v>
      </c>
      <c r="B19" s="1">
        <v>5.6153219652770696</v>
      </c>
      <c r="C19" s="1">
        <v>5.6986937165625298</v>
      </c>
      <c r="D19" s="1">
        <v>104.820638546257</v>
      </c>
      <c r="F19" s="1">
        <v>42.423999999999999</v>
      </c>
      <c r="G19" s="1">
        <v>42.423999999999999</v>
      </c>
      <c r="H19" s="1">
        <v>63.0071760319885</v>
      </c>
      <c r="I19" s="1">
        <v>41.316704261440002</v>
      </c>
      <c r="J19" s="1">
        <v>1.0002967416202</v>
      </c>
      <c r="K19" s="1">
        <v>307.81908749599597</v>
      </c>
      <c r="L19" s="1">
        <v>261.60695875512698</v>
      </c>
      <c r="M19" s="1">
        <v>1</v>
      </c>
      <c r="N19" s="1">
        <v>409.49006641906698</v>
      </c>
      <c r="O19" s="1">
        <v>513.82769091457396</v>
      </c>
      <c r="P19">
        <f>B19*M19</f>
        <v>5.6153219652770696</v>
      </c>
      <c r="Q19">
        <f>C19/M19</f>
        <v>5.6986937165625298</v>
      </c>
      <c r="R19">
        <f>1/(1/H19+1/(N19*B19))</f>
        <v>61.326740468080054</v>
      </c>
      <c r="S19">
        <f>1/(1/I19+1/(O19*B19))</f>
        <v>40.733414543528895</v>
      </c>
    </row>
    <row r="20" spans="1:19">
      <c r="A20" s="6"/>
    </row>
    <row r="21" spans="1:19">
      <c r="A21" s="6"/>
    </row>
    <row r="22" spans="1:19">
      <c r="A22" s="6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0.01</v>
      </c>
      <c r="B24" s="1">
        <v>11.0643874921938</v>
      </c>
      <c r="C24" s="1">
        <v>2.8921619043599698</v>
      </c>
      <c r="D24" s="1">
        <v>45.417602269984997</v>
      </c>
      <c r="F24" s="1">
        <v>111.763687666666</v>
      </c>
      <c r="G24" s="1">
        <v>126.269414333333</v>
      </c>
      <c r="H24" s="1">
        <v>139.31073060486199</v>
      </c>
      <c r="I24" s="1">
        <v>175.24276991160301</v>
      </c>
      <c r="J24" s="1">
        <v>1.96355430672676</v>
      </c>
      <c r="K24" s="1">
        <v>233.89724634164</v>
      </c>
      <c r="L24" s="1">
        <v>162.130105754591</v>
      </c>
      <c r="M24" s="1">
        <v>1.96636547488017</v>
      </c>
      <c r="N24" s="1">
        <v>318.30700715411598</v>
      </c>
      <c r="O24" s="1">
        <v>262.64605984313198</v>
      </c>
      <c r="P24">
        <f>B24*M24</f>
        <v>21.756629565345875</v>
      </c>
      <c r="Q24">
        <f>C24/M24</f>
        <v>1.4708160519021611</v>
      </c>
      <c r="R24">
        <f>1/(1/H24+1/(N24*B24))</f>
        <v>134.00985361349817</v>
      </c>
      <c r="S24">
        <f>1/(1/I24+1/(O24*B24))</f>
        <v>165.2760605357507</v>
      </c>
    </row>
    <row r="25" spans="1:19">
      <c r="A25" s="2">
        <v>5.0000000000000001E-3</v>
      </c>
      <c r="B25" s="1">
        <v>8.9078628194042402</v>
      </c>
      <c r="C25" s="1">
        <v>3.5923319261600501</v>
      </c>
      <c r="D25" s="1">
        <v>51.263931110121902</v>
      </c>
      <c r="F25" s="1">
        <v>102.42520683333299</v>
      </c>
      <c r="G25" s="1">
        <v>110.045834833333</v>
      </c>
      <c r="H25" s="1">
        <v>125.054335951241</v>
      </c>
      <c r="I25" s="1">
        <v>143.945265428325</v>
      </c>
      <c r="J25" s="1">
        <v>1.6607579874149001</v>
      </c>
      <c r="K25" s="1">
        <v>252.91451439653699</v>
      </c>
      <c r="L25" s="1">
        <v>181.73254788733601</v>
      </c>
      <c r="M25" s="1">
        <v>1.66659533238165</v>
      </c>
      <c r="N25" s="1">
        <v>336.19203024906398</v>
      </c>
      <c r="O25" s="1">
        <v>287.93440543290097</v>
      </c>
      <c r="P25">
        <f>B25*M25</f>
        <v>14.845802596315151</v>
      </c>
      <c r="Q25">
        <f>C25/M25</f>
        <v>2.155491411959269</v>
      </c>
      <c r="R25">
        <f>1/(1/H25+1/(N25*B25))</f>
        <v>120.04165797772434</v>
      </c>
      <c r="S25">
        <f>1/(1/I25+1/(O25*B25))</f>
        <v>136.2961053692506</v>
      </c>
    </row>
    <row r="26" spans="1:19">
      <c r="A26" s="2">
        <v>1E-3</v>
      </c>
      <c r="B26" s="1">
        <v>5.6611612847055799</v>
      </c>
      <c r="C26" s="1">
        <v>5.6525504910895998</v>
      </c>
      <c r="D26" s="1">
        <v>64.590571259838001</v>
      </c>
      <c r="F26" s="1">
        <v>84.937262333333294</v>
      </c>
      <c r="G26" s="1">
        <v>79.7858691666666</v>
      </c>
      <c r="H26" s="1">
        <v>100.21591979866599</v>
      </c>
      <c r="I26" s="1">
        <v>87.939031311777299</v>
      </c>
      <c r="J26" s="1">
        <v>1.29743953933501</v>
      </c>
      <c r="K26" s="1">
        <v>289.09699219220897</v>
      </c>
      <c r="L26" s="1">
        <v>236.20765380864799</v>
      </c>
      <c r="M26" s="1">
        <v>1.29747336668913</v>
      </c>
      <c r="N26" s="1">
        <v>359.93515042954198</v>
      </c>
      <c r="O26" s="1">
        <v>334.10269175034898</v>
      </c>
      <c r="P26">
        <f>B26*M26</f>
        <v>7.3452059914371093</v>
      </c>
      <c r="Q26">
        <f>C26/M26</f>
        <v>4.3565830607480445</v>
      </c>
      <c r="R26">
        <f>1/(1/H26+1/(N26*B26))</f>
        <v>95.51813867092153</v>
      </c>
      <c r="S26">
        <f>1/(1/I26+1/(O26*B26))</f>
        <v>84.032051724604358</v>
      </c>
    </row>
    <row r="27" spans="1:19">
      <c r="A27" s="2">
        <v>5.0000000000000001E-4</v>
      </c>
      <c r="B27" s="1">
        <v>4.8936909525181003</v>
      </c>
      <c r="C27" s="1">
        <v>6.5390316451295396</v>
      </c>
      <c r="D27" s="1">
        <v>70.844802034572794</v>
      </c>
      <c r="F27" s="1">
        <v>75.243472333333301</v>
      </c>
      <c r="G27" s="1">
        <v>78.301278999999994</v>
      </c>
      <c r="H27" s="1">
        <v>92.3876146534854</v>
      </c>
      <c r="I27" s="1">
        <v>86.167381555090898</v>
      </c>
      <c r="J27" s="1">
        <v>1.18397530484123</v>
      </c>
      <c r="K27" s="1">
        <v>291.94067552538797</v>
      </c>
      <c r="L27" s="1">
        <v>243.51872679143699</v>
      </c>
      <c r="M27" s="1">
        <v>1.1836632921494501</v>
      </c>
      <c r="N27" s="1">
        <v>361.646676514403</v>
      </c>
      <c r="O27" s="1">
        <v>331.833646659843</v>
      </c>
      <c r="P27">
        <f>B27*M27</f>
        <v>5.7924823436195529</v>
      </c>
      <c r="Q27">
        <f>C27/M27</f>
        <v>5.5244018197566245</v>
      </c>
      <c r="R27">
        <f>1/(1/H27+1/(N27*B27))</f>
        <v>87.804010646354641</v>
      </c>
      <c r="S27">
        <f>1/(1/I27+1/(O27*B27))</f>
        <v>81.825531967341988</v>
      </c>
    </row>
    <row r="28" spans="1:19">
      <c r="A28" s="2">
        <v>1E-4</v>
      </c>
      <c r="B28" s="1">
        <v>3.6492212502802901</v>
      </c>
      <c r="C28" s="1">
        <v>8.7689942059671306</v>
      </c>
      <c r="D28" s="1">
        <v>84.779815039813101</v>
      </c>
      <c r="F28" s="1">
        <v>65.598559666666603</v>
      </c>
      <c r="G28" s="1">
        <v>69.174334500000001</v>
      </c>
      <c r="H28" s="1">
        <v>75.2140922703326</v>
      </c>
      <c r="I28" s="1">
        <v>82.271026107449103</v>
      </c>
      <c r="J28" s="1">
        <v>1.0839452438607</v>
      </c>
      <c r="K28" s="1">
        <v>296.55910292529501</v>
      </c>
      <c r="L28" s="1">
        <v>262.35421285944</v>
      </c>
      <c r="M28" s="1">
        <v>1.0810102159261501</v>
      </c>
      <c r="N28" s="1">
        <v>365.41567710002101</v>
      </c>
      <c r="O28" s="1">
        <v>333.48081066340598</v>
      </c>
      <c r="P28">
        <f>B28*M28</f>
        <v>3.944845451727792</v>
      </c>
      <c r="Q28">
        <f>C28/M28</f>
        <v>8.111851374553698</v>
      </c>
      <c r="R28">
        <f>1/(1/H28+1/(N28*B28))</f>
        <v>71.198210434308464</v>
      </c>
      <c r="S28">
        <f>1/(1/I28+1/(O28*B28))</f>
        <v>77.061330227859429</v>
      </c>
    </row>
    <row r="29" spans="1:19">
      <c r="A29" s="2">
        <v>5.0000000000000002E-5</v>
      </c>
      <c r="B29" s="1">
        <v>3.2791441588382999</v>
      </c>
      <c r="C29" s="1">
        <v>9.7586438564313003</v>
      </c>
      <c r="D29" s="1">
        <v>90.768556443653793</v>
      </c>
      <c r="F29" s="1">
        <v>60.934412500000001</v>
      </c>
      <c r="G29" s="1">
        <v>73.505861833333299</v>
      </c>
      <c r="H29" s="1">
        <v>68.895235682823596</v>
      </c>
      <c r="I29" s="1">
        <v>80.326895686630294</v>
      </c>
      <c r="J29" s="1">
        <v>1.06246098591809</v>
      </c>
      <c r="K29" s="1">
        <v>301.37084308549697</v>
      </c>
      <c r="L29" s="1">
        <v>264.99871807785701</v>
      </c>
      <c r="M29" s="1">
        <v>1.06112811516953</v>
      </c>
      <c r="N29" s="1">
        <v>369.66608982254002</v>
      </c>
      <c r="O29" s="1">
        <v>341.62319864362098</v>
      </c>
      <c r="P29">
        <f>B29*M29</f>
        <v>3.479592060637259</v>
      </c>
      <c r="Q29">
        <f>C29/M29</f>
        <v>9.1964803466471352</v>
      </c>
      <c r="R29">
        <f>1/(1/H29+1/(N29*B29))</f>
        <v>65.190127467647542</v>
      </c>
      <c r="S29">
        <f>1/(1/I29+1/(O29*B29))</f>
        <v>74.952389097840538</v>
      </c>
    </row>
    <row r="30" spans="1:19">
      <c r="A30" s="2">
        <v>1.0000000000000001E-5</v>
      </c>
      <c r="B30" s="1">
        <v>2.64697044323181</v>
      </c>
      <c r="C30" s="1">
        <v>12.089292527546901</v>
      </c>
      <c r="D30" s="1">
        <v>104.786477612806</v>
      </c>
      <c r="F30" s="1">
        <v>51.685361499999999</v>
      </c>
      <c r="G30" s="1">
        <v>66.9215503333333</v>
      </c>
      <c r="H30" s="1">
        <v>58.424082478740402</v>
      </c>
      <c r="I30" s="1">
        <v>75.9007655119633</v>
      </c>
      <c r="J30" s="1">
        <v>1.03914681037203</v>
      </c>
      <c r="K30" s="1">
        <v>305.86159785712999</v>
      </c>
      <c r="L30" s="1">
        <v>280.97785191441199</v>
      </c>
      <c r="M30" s="1">
        <v>1.0402563318567599</v>
      </c>
      <c r="N30" s="1">
        <v>375.31600528056401</v>
      </c>
      <c r="O30" s="1">
        <v>370.89122304797201</v>
      </c>
      <c r="P30">
        <f>B30*M30</f>
        <v>2.7535277638095845</v>
      </c>
      <c r="Q30">
        <f>C30/M30</f>
        <v>11.621455363764667</v>
      </c>
      <c r="R30">
        <f>1/(1/H30+1/(N30*B30))</f>
        <v>55.179043685192028</v>
      </c>
      <c r="S30">
        <f>1/(1/I30+1/(O30*B30))</f>
        <v>70.453796451365861</v>
      </c>
    </row>
    <row r="31" spans="1:19">
      <c r="A31" s="6"/>
    </row>
    <row r="32" spans="1:19">
      <c r="A32" s="6"/>
    </row>
    <row r="33" spans="1:19">
      <c r="A33" s="6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2">
        <v>0.01</v>
      </c>
      <c r="B35" s="1">
        <v>1.81184799251211</v>
      </c>
      <c r="C35" s="1">
        <v>17.661525763887099</v>
      </c>
      <c r="D35" s="1">
        <v>74.681873045503593</v>
      </c>
      <c r="H35" s="1">
        <v>157.591729280789</v>
      </c>
      <c r="I35" s="1">
        <v>139.36911212134299</v>
      </c>
      <c r="J35" s="1">
        <v>1.0053189726137901</v>
      </c>
      <c r="K35" s="1">
        <v>312.48969252243802</v>
      </c>
      <c r="L35" s="1">
        <v>381.60719892270498</v>
      </c>
      <c r="M35" s="1">
        <v>1.00664451827242</v>
      </c>
      <c r="N35" s="1">
        <v>380.02027278444302</v>
      </c>
      <c r="O35" s="1">
        <v>488.906207441162</v>
      </c>
      <c r="P35">
        <f>B35*M35</f>
        <v>1.8238868496052041</v>
      </c>
      <c r="Q35">
        <f>C35/M35</f>
        <v>17.544948036072753</v>
      </c>
      <c r="R35">
        <f>1/(1/H35+1/(N35*B35))</f>
        <v>128.2402907772543</v>
      </c>
      <c r="S35">
        <f>1/(1/I35+1/(O35*B35))</f>
        <v>120.42267725917145</v>
      </c>
    </row>
    <row r="36" spans="1:19">
      <c r="A36" s="2">
        <v>5.0000000000000001E-3</v>
      </c>
      <c r="B36" s="1">
        <v>1.70274366118665</v>
      </c>
      <c r="C36" s="1">
        <v>18.793198723581799</v>
      </c>
      <c r="D36" s="1">
        <v>80.692338643227401</v>
      </c>
      <c r="H36" s="1">
        <v>157.31541391133999</v>
      </c>
      <c r="I36" s="1">
        <v>132.975940981364</v>
      </c>
      <c r="J36" s="1">
        <v>1.0055128781768099</v>
      </c>
      <c r="K36" s="1">
        <v>342.168060263668</v>
      </c>
      <c r="L36" s="1">
        <v>454.32536279329099</v>
      </c>
      <c r="M36" s="1">
        <v>1.00664451827242</v>
      </c>
      <c r="N36" s="1">
        <v>421.88090988072298</v>
      </c>
      <c r="O36" s="1">
        <v>597.76929042242205</v>
      </c>
      <c r="P36">
        <f>B36*M36</f>
        <v>1.714057572556652</v>
      </c>
      <c r="Q36">
        <f>C36/M36</f>
        <v>18.669151207254625</v>
      </c>
      <c r="R36">
        <f>1/(1/H36+1/(N36*B36))</f>
        <v>129.05348135426527</v>
      </c>
      <c r="S36">
        <f>1/(1/I36+1/(O36*B36))</f>
        <v>117.61077325601543</v>
      </c>
    </row>
    <row r="37" spans="1:19">
      <c r="A37" s="2">
        <v>1E-3</v>
      </c>
      <c r="B37" s="1">
        <v>1.4906887372225699</v>
      </c>
      <c r="C37" s="1">
        <v>21.466587357211701</v>
      </c>
      <c r="D37" s="1">
        <v>92.726480206559003</v>
      </c>
      <c r="H37" s="1">
        <v>157.90219863041199</v>
      </c>
      <c r="I37" s="1">
        <v>124.780210305342</v>
      </c>
      <c r="J37" s="1">
        <v>1.0628345103257399</v>
      </c>
      <c r="K37" s="1">
        <v>345.431893309305</v>
      </c>
      <c r="L37" s="1">
        <v>430.26404473455801</v>
      </c>
      <c r="M37" s="1">
        <v>1.06140350877192</v>
      </c>
      <c r="N37" s="1">
        <v>412.01883429215502</v>
      </c>
      <c r="O37" s="1">
        <v>543.28513585307201</v>
      </c>
      <c r="P37">
        <f>B37*M37</f>
        <v>1.5822222561748183</v>
      </c>
      <c r="Q37">
        <f>C37/M37</f>
        <v>20.224718667125259</v>
      </c>
      <c r="R37">
        <f>1/(1/H37+1/(N37*B37))</f>
        <v>125.60936482990421</v>
      </c>
      <c r="S37">
        <f>1/(1/I37+1/(O37*B37))</f>
        <v>108.12144661037563</v>
      </c>
    </row>
    <row r="38" spans="1:19">
      <c r="A38" s="2">
        <v>5.0000000000000001E-4</v>
      </c>
      <c r="B38" s="1">
        <v>1.7823026642112001</v>
      </c>
      <c r="C38" s="1">
        <v>17.954301838045101</v>
      </c>
      <c r="D38" s="1">
        <v>98.747378622133297</v>
      </c>
      <c r="H38" s="1">
        <v>159.35422239877801</v>
      </c>
      <c r="I38" s="1">
        <v>125.171828348829</v>
      </c>
      <c r="J38" s="1">
        <v>1.0015951677316199</v>
      </c>
      <c r="K38" s="1">
        <v>355.49556676117902</v>
      </c>
      <c r="L38" s="1">
        <v>501.59018184653399</v>
      </c>
      <c r="M38" s="1">
        <v>1</v>
      </c>
      <c r="N38" s="1">
        <v>431.17816790817801</v>
      </c>
      <c r="O38" s="1">
        <v>613.68931308046695</v>
      </c>
      <c r="P38">
        <f>B38*M38</f>
        <v>1.7823026642112001</v>
      </c>
      <c r="Q38">
        <f>C38/M38</f>
        <v>17.954301838045101</v>
      </c>
      <c r="R38">
        <f>1/(1/H38+1/(N38*B38))</f>
        <v>131.9856537812081</v>
      </c>
      <c r="S38">
        <f>1/(1/I38+1/(O38*B38))</f>
        <v>112.31817409278337</v>
      </c>
    </row>
    <row r="39" spans="1:19">
      <c r="A39" s="2">
        <v>1E-4</v>
      </c>
      <c r="B39" s="1">
        <v>1.5544088620131</v>
      </c>
      <c r="C39" s="1">
        <v>20.586604195344599</v>
      </c>
      <c r="D39" s="1" t="e">
        <f>-inf</f>
        <v>#NAME?</v>
      </c>
      <c r="H39" s="1">
        <v>156.93764142464099</v>
      </c>
      <c r="I39" s="1">
        <v>119.853580359341</v>
      </c>
      <c r="J39" s="1">
        <v>1.00059856086348</v>
      </c>
      <c r="K39" s="1">
        <v>356.75644942621301</v>
      </c>
      <c r="L39" s="1">
        <v>505.63151629781697</v>
      </c>
      <c r="M39" s="1">
        <v>1</v>
      </c>
      <c r="N39" s="1">
        <v>432.16708558914098</v>
      </c>
      <c r="O39" s="1">
        <v>616.49278133752398</v>
      </c>
      <c r="P39">
        <f>B39*M39</f>
        <v>1.5544088620131</v>
      </c>
      <c r="Q39">
        <f>C39/M39</f>
        <v>20.586604195344599</v>
      </c>
      <c r="R39">
        <f>1/(1/H39+1/(N39*B39))</f>
        <v>127.21715852626629</v>
      </c>
      <c r="S39">
        <f>1/(1/I39+1/(O39*B39))</f>
        <v>106.52976183153302</v>
      </c>
    </row>
    <row r="40" spans="1:19">
      <c r="A40" s="2">
        <v>5.0000000000000002E-5</v>
      </c>
      <c r="B40" s="1">
        <v>1.4711361325368399</v>
      </c>
      <c r="C40" s="1">
        <v>21.751895893426699</v>
      </c>
      <c r="H40" s="1">
        <v>155.532238105326</v>
      </c>
      <c r="I40" s="1">
        <v>117.06348245151899</v>
      </c>
      <c r="J40" s="1">
        <v>1.00174927876216</v>
      </c>
      <c r="K40" s="1">
        <v>350.99261837080201</v>
      </c>
      <c r="L40" s="1">
        <v>486.15846857736699</v>
      </c>
      <c r="M40" s="1">
        <v>1</v>
      </c>
      <c r="N40" s="1">
        <v>431.37069631506</v>
      </c>
      <c r="O40" s="1">
        <v>606.61102934176301</v>
      </c>
      <c r="P40">
        <f>B40*M40</f>
        <v>1.4711361325368399</v>
      </c>
      <c r="Q40">
        <f>C40/M40</f>
        <v>21.751895893426699</v>
      </c>
      <c r="R40">
        <f>1/(1/H40+1/(N40*B40))</f>
        <v>124.91695334661132</v>
      </c>
      <c r="S40">
        <f>1/(1/I40+1/(O40*B40))</f>
        <v>103.48819354302564</v>
      </c>
    </row>
    <row r="41" spans="1:19">
      <c r="A41" s="2">
        <v>1.0000000000000001E-5</v>
      </c>
      <c r="B41" s="1">
        <v>1.32809124943765</v>
      </c>
      <c r="C41" s="1">
        <v>24.094729946868899</v>
      </c>
      <c r="H41" s="1">
        <v>151.04190948582601</v>
      </c>
      <c r="I41" s="1">
        <v>107.330876342148</v>
      </c>
      <c r="J41" s="1">
        <v>1.00124909862671</v>
      </c>
      <c r="K41" s="1">
        <v>360.21495423226997</v>
      </c>
      <c r="L41" s="1">
        <v>510.10426531163</v>
      </c>
      <c r="M41" s="1">
        <v>1</v>
      </c>
      <c r="N41" s="1">
        <v>432.65030938728597</v>
      </c>
      <c r="O41" s="1">
        <v>617.82886550214005</v>
      </c>
      <c r="P41">
        <f>B41*M41</f>
        <v>1.32809124943765</v>
      </c>
      <c r="Q41">
        <f>C41/M41</f>
        <v>24.094729946868899</v>
      </c>
      <c r="R41">
        <f>1/(1/H41+1/(N41*B41))</f>
        <v>119.60259109225464</v>
      </c>
      <c r="S41">
        <f>1/(1/I41+1/(O41*B41))</f>
        <v>94.915352960602775</v>
      </c>
    </row>
    <row r="42" spans="1:19">
      <c r="A42" s="6"/>
    </row>
    <row r="43" spans="1:19">
      <c r="A43" s="6"/>
      <c r="E43" s="2"/>
    </row>
    <row r="44" spans="1:19">
      <c r="A44" s="6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64</v>
      </c>
      <c r="C46" s="1">
        <v>0.5</v>
      </c>
      <c r="D46" s="1">
        <v>25.927230017526</v>
      </c>
      <c r="H46" s="1">
        <v>460.82133283855097</v>
      </c>
      <c r="I46" s="1">
        <v>503.928929968766</v>
      </c>
      <c r="J46" s="1">
        <v>1.02977660562941</v>
      </c>
      <c r="K46" s="1">
        <v>142.848069513117</v>
      </c>
      <c r="L46" s="1">
        <v>85.654418490139193</v>
      </c>
      <c r="M46" s="1">
        <v>1.0280568063733899</v>
      </c>
      <c r="N46" s="1">
        <v>272.03964466769401</v>
      </c>
      <c r="O46" s="1">
        <v>255.04319132407099</v>
      </c>
      <c r="P46">
        <f>B46*M46</f>
        <v>65.795635607896955</v>
      </c>
      <c r="Q46">
        <f>C46/M46</f>
        <v>0.48635444743935691</v>
      </c>
      <c r="R46">
        <f>1/(1/H46+1/(N46*B46))</f>
        <v>448.93883942256315</v>
      </c>
      <c r="S46">
        <f>1/(1/I46+1/(O46*B46))</f>
        <v>488.83717285268887</v>
      </c>
    </row>
    <row r="47" spans="1:19">
      <c r="A47" s="2">
        <v>1</v>
      </c>
      <c r="B47" s="1">
        <v>32</v>
      </c>
      <c r="C47" s="1">
        <v>1</v>
      </c>
      <c r="D47" s="1">
        <v>28.0952092547743</v>
      </c>
      <c r="H47" s="1">
        <v>261.235293915748</v>
      </c>
      <c r="I47" s="1">
        <v>295.24409839365001</v>
      </c>
      <c r="J47" s="1">
        <v>0.99851666527580696</v>
      </c>
      <c r="K47" s="1">
        <v>253.992135096813</v>
      </c>
      <c r="L47" s="1">
        <v>245.220788193202</v>
      </c>
      <c r="M47" s="1">
        <v>1</v>
      </c>
      <c r="N47" s="1">
        <v>371.527050989722</v>
      </c>
      <c r="O47" s="1">
        <v>676.57260060244096</v>
      </c>
      <c r="P47">
        <f t="shared" ref="P47:P53" si="0">B47*M47</f>
        <v>32</v>
      </c>
      <c r="Q47">
        <f t="shared" ref="Q47:Q53" si="1">C47/M47</f>
        <v>1</v>
      </c>
      <c r="R47">
        <f t="shared" ref="R47:R53" si="2">1/(1/H47+1/(N47*B47))</f>
        <v>255.61856042479133</v>
      </c>
      <c r="S47">
        <f t="shared" ref="S47:S53" si="3">1/(1/I47+1/(O47*B47))</f>
        <v>291.2720398738374</v>
      </c>
    </row>
    <row r="48" spans="1:19">
      <c r="A48" s="2">
        <v>2</v>
      </c>
      <c r="B48" s="1">
        <v>16</v>
      </c>
      <c r="C48" s="1">
        <v>2</v>
      </c>
      <c r="D48" s="1">
        <v>31.651824247491401</v>
      </c>
      <c r="H48" s="1">
        <v>147.10516841600099</v>
      </c>
      <c r="I48" s="1">
        <v>174.17979732162499</v>
      </c>
      <c r="J48" s="1">
        <v>0.99849999999999905</v>
      </c>
      <c r="K48" s="1">
        <v>272.94023325149902</v>
      </c>
      <c r="L48" s="1">
        <v>394.550099057598</v>
      </c>
      <c r="M48" s="1">
        <v>1</v>
      </c>
      <c r="N48" s="1">
        <v>391.76492442312502</v>
      </c>
      <c r="O48" s="1">
        <v>565.40101061491305</v>
      </c>
      <c r="P48">
        <f t="shared" si="0"/>
        <v>16</v>
      </c>
      <c r="Q48">
        <f t="shared" si="1"/>
        <v>2</v>
      </c>
      <c r="R48">
        <f t="shared" si="2"/>
        <v>143.73201637421309</v>
      </c>
      <c r="S48">
        <f t="shared" si="3"/>
        <v>170.88948920021338</v>
      </c>
    </row>
    <row r="49" spans="1:19">
      <c r="A49" s="2">
        <v>4</v>
      </c>
      <c r="B49" s="1">
        <v>8</v>
      </c>
      <c r="C49" s="1">
        <v>4</v>
      </c>
      <c r="D49" s="1">
        <v>42.092352661558799</v>
      </c>
      <c r="H49" s="1">
        <v>101.518427258302</v>
      </c>
      <c r="I49" s="1">
        <v>139.45783234665399</v>
      </c>
      <c r="J49" s="1">
        <v>0.99849999999999905</v>
      </c>
      <c r="K49" s="1">
        <v>310.06965149657202</v>
      </c>
      <c r="L49" s="1">
        <v>424.77754899778103</v>
      </c>
      <c r="M49" s="1">
        <v>1</v>
      </c>
      <c r="N49" s="1">
        <v>411.15207822677399</v>
      </c>
      <c r="O49" s="1">
        <v>584.81032180698503</v>
      </c>
      <c r="P49">
        <f t="shared" si="0"/>
        <v>8</v>
      </c>
      <c r="Q49">
        <f t="shared" si="1"/>
        <v>4</v>
      </c>
      <c r="R49">
        <f t="shared" si="2"/>
        <v>98.47897094228567</v>
      </c>
      <c r="S49">
        <f t="shared" si="3"/>
        <v>135.42115165725238</v>
      </c>
    </row>
    <row r="50" spans="1:19">
      <c r="A50" s="2">
        <v>6</v>
      </c>
      <c r="B50" s="1">
        <v>5.3333333333333304</v>
      </c>
      <c r="C50" s="1">
        <v>6</v>
      </c>
      <c r="D50" s="1">
        <v>53.875205023612502</v>
      </c>
      <c r="H50" s="1">
        <v>93.714140443255602</v>
      </c>
      <c r="I50" s="1">
        <v>131.56546771364199</v>
      </c>
      <c r="J50" s="1">
        <v>0.99849999999999905</v>
      </c>
      <c r="K50" s="1">
        <v>326.529833918299</v>
      </c>
      <c r="L50" s="1">
        <v>434.100933833704</v>
      </c>
      <c r="M50" s="1">
        <v>1</v>
      </c>
      <c r="N50" s="1">
        <v>421.96131085798601</v>
      </c>
      <c r="O50" s="1">
        <v>603.59298360579396</v>
      </c>
      <c r="P50">
        <f t="shared" si="0"/>
        <v>5.3333333333333304</v>
      </c>
      <c r="Q50">
        <f t="shared" si="1"/>
        <v>6</v>
      </c>
      <c r="R50">
        <f t="shared" si="2"/>
        <v>89.967687160843283</v>
      </c>
      <c r="S50">
        <f t="shared" si="3"/>
        <v>126.39958374687438</v>
      </c>
    </row>
    <row r="51" spans="1:19">
      <c r="A51" s="2">
        <v>8</v>
      </c>
      <c r="B51" s="1">
        <v>4</v>
      </c>
      <c r="C51" s="1">
        <v>8</v>
      </c>
      <c r="D51" s="1">
        <v>65.876798563339307</v>
      </c>
      <c r="H51" s="1">
        <v>90.532674898962199</v>
      </c>
      <c r="I51" s="1">
        <v>127.024669876641</v>
      </c>
      <c r="J51" s="1">
        <v>0.99849999999999905</v>
      </c>
      <c r="K51" s="1">
        <v>334.84255821790998</v>
      </c>
      <c r="L51" s="1">
        <v>444.32129637343502</v>
      </c>
      <c r="M51" s="1">
        <v>1</v>
      </c>
      <c r="N51" s="1">
        <v>426.97394757542497</v>
      </c>
      <c r="O51" s="1">
        <v>612.32539647369902</v>
      </c>
      <c r="P51">
        <f t="shared" si="0"/>
        <v>4</v>
      </c>
      <c r="Q51">
        <f t="shared" si="1"/>
        <v>8</v>
      </c>
      <c r="R51">
        <f t="shared" si="2"/>
        <v>85.975270819258256</v>
      </c>
      <c r="S51">
        <f t="shared" si="3"/>
        <v>120.7617725742812</v>
      </c>
    </row>
    <row r="52" spans="1:19">
      <c r="A52" s="2">
        <v>12</v>
      </c>
      <c r="B52" s="1">
        <v>2.6666666666666599</v>
      </c>
      <c r="C52" s="1">
        <v>12</v>
      </c>
      <c r="D52" s="1">
        <v>89.958433216088693</v>
      </c>
      <c r="H52" s="1">
        <v>85.202620109746505</v>
      </c>
      <c r="I52" s="1">
        <v>118.430828522179</v>
      </c>
      <c r="J52" s="1">
        <v>0.99849999999999905</v>
      </c>
      <c r="K52" s="1">
        <v>342.85326920216698</v>
      </c>
      <c r="L52" s="1">
        <v>494.65735309775999</v>
      </c>
      <c r="M52" s="1">
        <v>1</v>
      </c>
      <c r="N52" s="1">
        <v>432.189876402724</v>
      </c>
      <c r="O52" s="1">
        <v>618.17294859500305</v>
      </c>
      <c r="P52">
        <f t="shared" si="0"/>
        <v>2.6666666666666599</v>
      </c>
      <c r="Q52">
        <f t="shared" si="1"/>
        <v>12</v>
      </c>
      <c r="R52">
        <f t="shared" si="2"/>
        <v>79.337358788470894</v>
      </c>
      <c r="S52">
        <f t="shared" si="3"/>
        <v>110.49267443705219</v>
      </c>
    </row>
    <row r="53" spans="1:19">
      <c r="A53" s="2">
        <v>16</v>
      </c>
      <c r="B53" s="1">
        <v>2</v>
      </c>
      <c r="C53" s="1">
        <v>16</v>
      </c>
      <c r="D53" s="1">
        <v>114.040187947137</v>
      </c>
      <c r="H53" s="1">
        <v>87.682526427011894</v>
      </c>
      <c r="I53" s="1">
        <v>111.976748893909</v>
      </c>
      <c r="J53" s="1">
        <v>0.99849999999999905</v>
      </c>
      <c r="K53" s="1">
        <v>347.64473384983</v>
      </c>
      <c r="L53" s="1">
        <v>489.83116471315998</v>
      </c>
      <c r="M53" s="1">
        <v>1</v>
      </c>
      <c r="N53" s="1">
        <v>435.47769054155702</v>
      </c>
      <c r="O53" s="1">
        <v>624.52547400337403</v>
      </c>
      <c r="P53">
        <f t="shared" si="0"/>
        <v>2</v>
      </c>
      <c r="Q53">
        <f t="shared" si="1"/>
        <v>16</v>
      </c>
      <c r="R53">
        <f t="shared" si="2"/>
        <v>79.66257918687792</v>
      </c>
      <c r="S53">
        <f t="shared" si="3"/>
        <v>102.76401037183265</v>
      </c>
    </row>
    <row r="56" spans="1:19">
      <c r="A56" s="5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0.01</v>
      </c>
      <c r="B58" s="1">
        <v>11.2261849402378</v>
      </c>
      <c r="C58" s="1">
        <v>2.8504786060759399</v>
      </c>
      <c r="D58" s="1">
        <v>45.417602807288098</v>
      </c>
      <c r="F58" s="1">
        <v>153.41366666666599</v>
      </c>
      <c r="G58" s="1">
        <v>123.675833333333</v>
      </c>
      <c r="H58" s="1">
        <v>158.26422787722501</v>
      </c>
      <c r="I58" s="1">
        <v>124.72251996017501</v>
      </c>
      <c r="J58" s="1">
        <v>1.7922306202196401</v>
      </c>
      <c r="K58" s="1">
        <v>226.58141302225101</v>
      </c>
      <c r="L58" s="1">
        <v>143.68220588493301</v>
      </c>
      <c r="M58" s="1">
        <v>1.7920215240624</v>
      </c>
      <c r="N58" s="1">
        <v>306.74322056768199</v>
      </c>
      <c r="O58" s="1">
        <v>214.53052660798201</v>
      </c>
      <c r="P58">
        <f>B58*M58</f>
        <v>20.117565046011308</v>
      </c>
      <c r="Q58">
        <f>C58/M58</f>
        <v>1.5906497593924454</v>
      </c>
      <c r="R58">
        <f>1/(1/H58+1/(N58*B58))</f>
        <v>151.3100870862533</v>
      </c>
      <c r="S58">
        <f>1/(1/I58+1/(O58*B58))</f>
        <v>118.58149978032085</v>
      </c>
    </row>
    <row r="59" spans="1:19">
      <c r="A59" s="2">
        <v>5.0000000000000001E-3</v>
      </c>
      <c r="B59" s="1">
        <v>9.7882571604003505</v>
      </c>
      <c r="C59" s="1">
        <v>3.26922346599761</v>
      </c>
      <c r="D59" s="1">
        <v>51.263930452142198</v>
      </c>
      <c r="F59" s="1">
        <v>152.96566666666601</v>
      </c>
      <c r="G59" s="1">
        <v>123.316</v>
      </c>
      <c r="H59" s="1">
        <v>158.11898538816999</v>
      </c>
      <c r="I59" s="1">
        <v>124.353913587951</v>
      </c>
      <c r="J59" s="1">
        <v>1.5347900303678199</v>
      </c>
      <c r="K59" s="1">
        <v>246.294142499213</v>
      </c>
      <c r="L59" s="1">
        <v>156.29447447642599</v>
      </c>
      <c r="M59" s="1">
        <v>1.53526941636698</v>
      </c>
      <c r="N59" s="1">
        <v>317.24807657815097</v>
      </c>
      <c r="O59" s="1">
        <v>219.11443794808699</v>
      </c>
      <c r="P59">
        <f>B59*M59</f>
        <v>15.027611857897758</v>
      </c>
      <c r="Q59">
        <f>C59/M59</f>
        <v>2.1294135290819587</v>
      </c>
      <c r="R59">
        <f>1/(1/H59+1/(N59*B59))</f>
        <v>150.45782709210408</v>
      </c>
      <c r="S59">
        <f>1/(1/I59+1/(O59*B59))</f>
        <v>117.53892984705162</v>
      </c>
    </row>
    <row r="60" spans="1:19">
      <c r="A60" s="2">
        <v>1E-3</v>
      </c>
      <c r="B60" s="1">
        <v>7.3682477844176901</v>
      </c>
      <c r="C60" s="1">
        <v>4.3429592674222102</v>
      </c>
      <c r="D60" s="1">
        <v>64.590571417673203</v>
      </c>
      <c r="F60" s="1">
        <v>152.79050000000001</v>
      </c>
      <c r="G60" s="1">
        <v>122.766166666666</v>
      </c>
      <c r="H60" s="1">
        <v>157.808448016413</v>
      </c>
      <c r="I60" s="1">
        <v>123.80203764172499</v>
      </c>
      <c r="J60" s="1">
        <v>1.28554060351268</v>
      </c>
      <c r="K60" s="1">
        <v>262.90548907394901</v>
      </c>
      <c r="L60" s="1">
        <v>173.915834929113</v>
      </c>
      <c r="M60" s="1">
        <v>1.2883133909726201</v>
      </c>
      <c r="N60" s="1">
        <v>329.54012520583598</v>
      </c>
      <c r="O60" s="1">
        <v>232.91065784953901</v>
      </c>
      <c r="P60">
        <f>B60*M60</f>
        <v>9.4926122886696493</v>
      </c>
      <c r="Q60">
        <f>C60/M60</f>
        <v>3.3710425567675473</v>
      </c>
      <c r="R60">
        <f>1/(1/H60+1/(N60*B60))</f>
        <v>148.17810490862519</v>
      </c>
      <c r="S60">
        <f>1/(1/I60+1/(O60*B60))</f>
        <v>115.47192964581268</v>
      </c>
    </row>
    <row r="61" spans="1:19">
      <c r="A61" s="2">
        <v>5.0000000000000001E-4</v>
      </c>
      <c r="B61" s="1">
        <v>6.5484829845952603</v>
      </c>
      <c r="C61" s="1">
        <v>4.8866279526536402</v>
      </c>
      <c r="D61" s="1">
        <v>70.844802205676004</v>
      </c>
      <c r="F61" s="1">
        <v>152.73933333333301</v>
      </c>
      <c r="G61" s="1">
        <v>122.6765</v>
      </c>
      <c r="H61" s="1">
        <v>157.724155913391</v>
      </c>
      <c r="I61" s="1">
        <v>123.703630537411</v>
      </c>
      <c r="J61" s="1">
        <v>1.23934443209476</v>
      </c>
      <c r="K61" s="1">
        <v>262.17549886990503</v>
      </c>
      <c r="L61" s="1">
        <v>173.92934316933599</v>
      </c>
      <c r="M61" s="1">
        <v>1.2400601184687401</v>
      </c>
      <c r="N61" s="1">
        <v>329.90043621392698</v>
      </c>
      <c r="O61" s="1">
        <v>237.62777019683099</v>
      </c>
      <c r="P61">
        <f>B61*M61</f>
        <v>8.1205125856677274</v>
      </c>
      <c r="Q61">
        <f>C61/M61</f>
        <v>3.9406379415602699</v>
      </c>
      <c r="R61">
        <f>1/(1/H61+1/(N61*B61))</f>
        <v>146.99242963489752</v>
      </c>
      <c r="S61">
        <f>1/(1/I61+1/(O61*B61))</f>
        <v>114.59388991831447</v>
      </c>
    </row>
    <row r="62" spans="1:19">
      <c r="A62" s="2">
        <v>1E-4</v>
      </c>
      <c r="B62" s="1">
        <v>4.8733446241654201</v>
      </c>
      <c r="C62" s="1">
        <v>6.5663322559463104</v>
      </c>
      <c r="D62" s="1">
        <v>84.779814893776404</v>
      </c>
      <c r="F62" s="1">
        <v>152.18133333333299</v>
      </c>
      <c r="G62" s="1">
        <v>122.294666666666</v>
      </c>
      <c r="H62" s="1">
        <v>157.20802049112501</v>
      </c>
      <c r="I62" s="1">
        <v>123.339672054858</v>
      </c>
      <c r="J62" s="1">
        <v>1.2045649079594301</v>
      </c>
      <c r="K62" s="1">
        <v>268.69280086723001</v>
      </c>
      <c r="L62" s="1">
        <v>203.08483662467401</v>
      </c>
      <c r="M62" s="1">
        <v>1.20569384060077</v>
      </c>
      <c r="N62" s="1">
        <v>330.74151014835701</v>
      </c>
      <c r="O62" s="1">
        <v>259.23032693782898</v>
      </c>
      <c r="P62">
        <f>B62*M62</f>
        <v>5.8757615964811212</v>
      </c>
      <c r="Q62">
        <f>C62/M62</f>
        <v>5.4461025136152772</v>
      </c>
      <c r="R62">
        <f>1/(1/H62+1/(N62*B62))</f>
        <v>143.23741160516738</v>
      </c>
      <c r="S62">
        <f>1/(1/I62+1/(O62*B62))</f>
        <v>112.36892771902463</v>
      </c>
    </row>
    <row r="63" spans="1:19">
      <c r="A63" s="2">
        <v>5.0000000000000002E-5</v>
      </c>
      <c r="B63" s="1">
        <v>4.3051346986598302</v>
      </c>
      <c r="C63" s="1">
        <v>7.4329846194966596</v>
      </c>
      <c r="D63" s="1">
        <v>90.768556244455198</v>
      </c>
      <c r="F63" s="1">
        <v>152.114833333333</v>
      </c>
      <c r="G63" s="1">
        <v>122.219666666666</v>
      </c>
      <c r="H63" s="1">
        <v>156.99421318814399</v>
      </c>
      <c r="I63" s="1">
        <v>123.23541211898601</v>
      </c>
      <c r="J63" s="1">
        <v>1.18828448635989</v>
      </c>
      <c r="K63" s="1">
        <v>270.439771159158</v>
      </c>
      <c r="L63" s="1">
        <v>207.61911398249899</v>
      </c>
      <c r="M63" s="1">
        <v>1.1891253939330899</v>
      </c>
      <c r="N63" s="1">
        <v>330.86069121142998</v>
      </c>
      <c r="O63" s="1">
        <v>265.99525236088101</v>
      </c>
      <c r="P63">
        <f>B63*M63</f>
        <v>5.1193449944788849</v>
      </c>
      <c r="Q63">
        <f>C63/M63</f>
        <v>6.2507996695888419</v>
      </c>
      <c r="R63">
        <f>1/(1/H63+1/(N63*B63))</f>
        <v>141.40848179421471</v>
      </c>
      <c r="S63">
        <f>1/(1/I63+1/(O63*B63))</f>
        <v>111.26190481946702</v>
      </c>
    </row>
    <row r="64" spans="1:19">
      <c r="A64" s="4">
        <v>1.0000000000000001E-5</v>
      </c>
      <c r="B64" s="1">
        <v>3.3488862546342002</v>
      </c>
      <c r="C64" s="1">
        <v>9.5554156118973097</v>
      </c>
      <c r="D64" s="1">
        <v>62.275722240997602</v>
      </c>
      <c r="F64" s="1">
        <v>151.48566666666599</v>
      </c>
      <c r="G64" s="1">
        <v>121.943</v>
      </c>
      <c r="H64" s="1">
        <v>156.54386839418501</v>
      </c>
      <c r="I64" s="1">
        <v>122.975088377942</v>
      </c>
      <c r="J64" s="1">
        <v>1.16792392847479</v>
      </c>
      <c r="K64" s="1">
        <v>274.595950044125</v>
      </c>
      <c r="L64" s="1">
        <v>215.787257175821</v>
      </c>
      <c r="M64" s="1">
        <v>1.16972488876807</v>
      </c>
      <c r="N64" s="1">
        <v>333.05728758598599</v>
      </c>
      <c r="O64" s="1">
        <v>278.585727831371</v>
      </c>
      <c r="P64">
        <f>B64*M64</f>
        <v>3.9172756016989085</v>
      </c>
      <c r="Q64">
        <f>C64/M64</f>
        <v>8.1689427177709071</v>
      </c>
      <c r="R64">
        <f>1/(1/H64+1/(N64*B64))</f>
        <v>137.27686879186336</v>
      </c>
      <c r="S64">
        <f>1/(1/I64+1/(O64*B64))</f>
        <v>108.65319650673747</v>
      </c>
    </row>
    <row r="65" spans="1:21">
      <c r="A65" s="6"/>
    </row>
    <row r="66" spans="1:21">
      <c r="A66" s="6"/>
    </row>
    <row r="67" spans="1:21">
      <c r="A67" s="6"/>
      <c r="E67" s="2"/>
    </row>
    <row r="68" spans="1:21">
      <c r="A68" s="6"/>
    </row>
    <row r="69" spans="1:21">
      <c r="A69" s="6"/>
    </row>
    <row r="70" spans="1:21">
      <c r="A70" s="6"/>
    </row>
    <row r="71" spans="1:21">
      <c r="A71" s="6"/>
      <c r="E71" s="2"/>
    </row>
    <row r="72" spans="1:21">
      <c r="A72" s="6"/>
      <c r="U72" t="s">
        <v>28</v>
      </c>
    </row>
    <row r="73" spans="1:21">
      <c r="A73" s="6"/>
    </row>
    <row r="74" spans="1:21">
      <c r="A74" s="6"/>
      <c r="E74" s="2"/>
    </row>
    <row r="75" spans="1:21">
      <c r="A75" s="6"/>
      <c r="E75" s="2"/>
    </row>
    <row r="76" spans="1:21">
      <c r="A76" s="6"/>
    </row>
    <row r="77" spans="1:21">
      <c r="A77" s="6"/>
    </row>
    <row r="78" spans="1:21">
      <c r="A78" s="6"/>
      <c r="E78" s="2"/>
    </row>
    <row r="79" spans="1:21">
      <c r="A79" s="6"/>
    </row>
    <row r="80" spans="1:21">
      <c r="A80" s="6"/>
    </row>
    <row r="81" spans="1:5">
      <c r="A81" s="6"/>
      <c r="E81" s="2"/>
    </row>
    <row r="82" spans="1:5">
      <c r="A82" s="6"/>
      <c r="E82" s="2"/>
    </row>
    <row r="83" spans="1:5">
      <c r="A83" s="6"/>
    </row>
    <row r="84" spans="1:5">
      <c r="A84" s="6"/>
    </row>
    <row r="85" spans="1:5">
      <c r="A85" s="6"/>
      <c r="E85" s="2"/>
    </row>
    <row r="86" spans="1:5">
      <c r="A86" s="6"/>
    </row>
    <row r="87" spans="1:5">
      <c r="A87" s="6"/>
    </row>
    <row r="88" spans="1:5">
      <c r="A88" s="6"/>
      <c r="E88" s="2"/>
    </row>
    <row r="89" spans="1:5">
      <c r="A89" s="6"/>
      <c r="E89" s="2"/>
    </row>
    <row r="90" spans="1:5">
      <c r="A90" s="6"/>
    </row>
    <row r="91" spans="1:5">
      <c r="A91" s="6"/>
    </row>
    <row r="92" spans="1:5">
      <c r="A92" s="6"/>
      <c r="E92" s="2"/>
    </row>
    <row r="93" spans="1:5">
      <c r="A93" s="6"/>
    </row>
    <row r="94" spans="1:5">
      <c r="A94" s="6"/>
    </row>
    <row r="95" spans="1:5">
      <c r="A95" s="6"/>
      <c r="E95" s="2"/>
    </row>
    <row r="96" spans="1:5">
      <c r="A96" s="6"/>
      <c r="E96" s="2"/>
    </row>
    <row r="97" spans="1:5">
      <c r="A97" s="6"/>
    </row>
    <row r="98" spans="1:5">
      <c r="A98" s="6"/>
    </row>
    <row r="99" spans="1:5">
      <c r="A99" s="6"/>
      <c r="E99" s="2"/>
    </row>
    <row r="100" spans="1:5">
      <c r="A100" s="6"/>
    </row>
    <row r="101" spans="1:5">
      <c r="A101" s="6"/>
    </row>
    <row r="102" spans="1:5">
      <c r="A102" s="6"/>
      <c r="E102" s="2"/>
    </row>
    <row r="103" spans="1:5">
      <c r="A103" s="6"/>
      <c r="E103" s="2"/>
    </row>
    <row r="104" spans="1:5">
      <c r="A104" s="6"/>
    </row>
    <row r="105" spans="1:5">
      <c r="A105" s="6"/>
    </row>
    <row r="106" spans="1:5">
      <c r="A106" s="6"/>
      <c r="E106" s="2"/>
    </row>
    <row r="107" spans="1:5">
      <c r="A107" s="6"/>
    </row>
    <row r="108" spans="1:5">
      <c r="A108" s="6"/>
    </row>
    <row r="109" spans="1:5">
      <c r="A109" s="6"/>
      <c r="E109" s="2"/>
    </row>
    <row r="110" spans="1:5">
      <c r="A110" s="6"/>
      <c r="E110" s="2"/>
    </row>
    <row r="111" spans="1:5">
      <c r="A111" s="6"/>
    </row>
    <row r="112" spans="1:5">
      <c r="A112" s="6"/>
    </row>
    <row r="113" spans="1:5">
      <c r="A113" s="6"/>
      <c r="E113" s="2"/>
    </row>
  </sheetData>
  <sortState xmlns:xlrd2="http://schemas.microsoft.com/office/spreadsheetml/2017/richdata2" ref="A58:S64">
    <sortCondition descending="1" ref="A58:A64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10B5-633F-4DCB-A027-CDE30C2170F6}">
  <dimension ref="A1:U113"/>
  <sheetViews>
    <sheetView workbookViewId="0">
      <selection activeCell="K61" sqref="K61"/>
    </sheetView>
  </sheetViews>
  <sheetFormatPr defaultRowHeight="15"/>
  <cols>
    <col min="1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8.2808291999999994</v>
      </c>
      <c r="C3" s="1">
        <v>3.8643473047360999</v>
      </c>
      <c r="D3" s="1">
        <v>104.825866657969</v>
      </c>
      <c r="F3" s="1">
        <v>46.96</v>
      </c>
      <c r="G3" s="1">
        <v>46.96</v>
      </c>
      <c r="H3" s="1">
        <v>103.589347819285</v>
      </c>
      <c r="I3" s="1">
        <v>47.310547359490897</v>
      </c>
      <c r="J3" s="1">
        <v>1.0023</v>
      </c>
      <c r="K3" s="1">
        <v>310.23736384812901</v>
      </c>
      <c r="L3" s="1">
        <v>264.70928805178698</v>
      </c>
      <c r="M3" s="1">
        <v>1</v>
      </c>
      <c r="N3" s="1">
        <v>399.78428885810803</v>
      </c>
      <c r="O3" s="1">
        <v>503.93433425940702</v>
      </c>
      <c r="P3">
        <f t="shared" ref="P3:P9" si="0">B3*M3</f>
        <v>8.2808291999999994</v>
      </c>
      <c r="Q3">
        <f t="shared" ref="Q3:Q9" si="1">C3/M3</f>
        <v>3.8643473047360999</v>
      </c>
      <c r="R3">
        <f t="shared" ref="R3:R9" si="2">1/(1/H3+1/(N3*B3))</f>
        <v>100.44631049540533</v>
      </c>
      <c r="S3">
        <f t="shared" ref="S3:S9" si="3">1/(1/I3+1/(O3*B3))</f>
        <v>46.780185679007118</v>
      </c>
    </row>
    <row r="4" spans="1:19">
      <c r="A4" s="2">
        <v>5.0000000000000002E-5</v>
      </c>
      <c r="B4" s="1">
        <v>12.701373999999999</v>
      </c>
      <c r="C4" s="1">
        <v>2.5194124667142299</v>
      </c>
      <c r="D4" s="1">
        <v>91.000348181682298</v>
      </c>
      <c r="F4" s="1">
        <v>49.46</v>
      </c>
      <c r="G4" s="1">
        <v>49.46</v>
      </c>
      <c r="H4" s="1">
        <v>105.757516607196</v>
      </c>
      <c r="I4" s="1">
        <v>49.746791763582102</v>
      </c>
      <c r="J4" s="1">
        <v>1.0179</v>
      </c>
      <c r="K4" s="1">
        <v>279.06454165101599</v>
      </c>
      <c r="L4" s="1">
        <v>192.65163433847701</v>
      </c>
      <c r="M4" s="1">
        <v>1.02</v>
      </c>
      <c r="N4" s="1">
        <v>387.67879303746901</v>
      </c>
      <c r="O4" s="1">
        <v>477.62110578428297</v>
      </c>
      <c r="P4">
        <f t="shared" si="0"/>
        <v>12.955401479999999</v>
      </c>
      <c r="Q4">
        <f t="shared" si="1"/>
        <v>2.4700122222688528</v>
      </c>
      <c r="R4">
        <f t="shared" si="2"/>
        <v>103.5338440610895</v>
      </c>
      <c r="S4">
        <f t="shared" si="3"/>
        <v>49.342170119863077</v>
      </c>
    </row>
    <row r="5" spans="1:19">
      <c r="A5" s="2">
        <v>1E-4</v>
      </c>
      <c r="B5" s="1">
        <v>14.826266</v>
      </c>
      <c r="C5" s="1">
        <v>2.15833170671563</v>
      </c>
      <c r="D5" s="1">
        <v>85.096938408232305</v>
      </c>
      <c r="F5" s="1">
        <v>52.06</v>
      </c>
      <c r="G5" s="1">
        <v>52.06</v>
      </c>
      <c r="H5" s="1">
        <v>106.22136469323399</v>
      </c>
      <c r="I5" s="1">
        <v>52.381565622194501</v>
      </c>
      <c r="J5" s="1">
        <v>1.0339</v>
      </c>
      <c r="K5" s="1">
        <v>271.641125864201</v>
      </c>
      <c r="L5" s="1">
        <v>209.83616986427501</v>
      </c>
      <c r="M5" s="1">
        <v>1.03</v>
      </c>
      <c r="N5" s="1">
        <v>382.02520863672203</v>
      </c>
      <c r="O5" s="1">
        <v>480.64121230739403</v>
      </c>
      <c r="P5">
        <f t="shared" si="0"/>
        <v>15.271053980000001</v>
      </c>
      <c r="Q5">
        <f t="shared" si="1"/>
        <v>2.0954676764229418</v>
      </c>
      <c r="R5">
        <f t="shared" si="2"/>
        <v>104.26598669145939</v>
      </c>
      <c r="S5">
        <f t="shared" si="3"/>
        <v>51.999336753414582</v>
      </c>
    </row>
    <row r="6" spans="1:19">
      <c r="A6" s="2">
        <v>5.0000000000000001E-4</v>
      </c>
      <c r="B6" s="1">
        <v>19.179601000000002</v>
      </c>
      <c r="C6" s="1">
        <v>1.6684392965213399</v>
      </c>
      <c r="D6" s="1">
        <v>71.443469619923604</v>
      </c>
      <c r="F6" s="1">
        <v>56.61</v>
      </c>
      <c r="G6" s="1">
        <v>56.61</v>
      </c>
      <c r="H6" s="1">
        <v>109.464413531826</v>
      </c>
      <c r="I6" s="1">
        <v>56.965865132354203</v>
      </c>
      <c r="J6" s="1">
        <v>1.0921000000000001</v>
      </c>
      <c r="K6" s="1">
        <v>259.027860433782</v>
      </c>
      <c r="L6" s="1">
        <v>166.179648695813</v>
      </c>
      <c r="M6" s="1">
        <v>1.0900000000000001</v>
      </c>
      <c r="N6" s="1">
        <v>373.43109519801197</v>
      </c>
      <c r="O6" s="1">
        <v>375.18772912289501</v>
      </c>
      <c r="P6">
        <f t="shared" si="0"/>
        <v>20.905765090000003</v>
      </c>
      <c r="Q6">
        <f t="shared" si="1"/>
        <v>1.5306782536893027</v>
      </c>
      <c r="R6">
        <f t="shared" si="2"/>
        <v>107.81659822340988</v>
      </c>
      <c r="S6">
        <f t="shared" si="3"/>
        <v>56.518443787897255</v>
      </c>
    </row>
    <row r="7" spans="1:19">
      <c r="A7" s="2">
        <v>1E-3</v>
      </c>
      <c r="B7" s="1">
        <v>20.936527999999999</v>
      </c>
      <c r="C7" s="1">
        <v>1.5284291645682599</v>
      </c>
      <c r="D7" s="1">
        <v>65.626114698205299</v>
      </c>
      <c r="F7" s="1">
        <v>59.14</v>
      </c>
      <c r="G7" s="1">
        <v>59.14</v>
      </c>
      <c r="H7" s="1">
        <v>110.808388615976</v>
      </c>
      <c r="I7" s="1">
        <v>59.543882074619901</v>
      </c>
      <c r="J7" s="1">
        <v>1.1291</v>
      </c>
      <c r="K7" s="1">
        <v>252.312740939077</v>
      </c>
      <c r="L7" s="1">
        <v>160.29054466234899</v>
      </c>
      <c r="M7" s="1">
        <v>1.1299999999999999</v>
      </c>
      <c r="N7" s="1">
        <v>362.00940328789898</v>
      </c>
      <c r="O7" s="1">
        <v>360.52551035587601</v>
      </c>
      <c r="P7">
        <f t="shared" si="0"/>
        <v>23.658276639999997</v>
      </c>
      <c r="Q7">
        <f t="shared" si="1"/>
        <v>1.3525921810338586</v>
      </c>
      <c r="R7">
        <f t="shared" si="2"/>
        <v>109.21171063846002</v>
      </c>
      <c r="S7">
        <f t="shared" si="3"/>
        <v>59.077844296381301</v>
      </c>
    </row>
    <row r="8" spans="1:19">
      <c r="A8" s="2">
        <v>5.0000000000000001E-3</v>
      </c>
      <c r="B8" s="1">
        <v>26.649915</v>
      </c>
      <c r="C8" s="1">
        <v>1.2007542988411</v>
      </c>
      <c r="D8" s="1">
        <v>52.340946532001396</v>
      </c>
      <c r="F8" s="1">
        <v>63.8</v>
      </c>
      <c r="G8" s="1">
        <v>63.8</v>
      </c>
      <c r="H8" s="1">
        <v>117.66152474395101</v>
      </c>
      <c r="I8" s="1">
        <v>64.298263306774302</v>
      </c>
      <c r="J8" s="1">
        <v>1.3294999999999999</v>
      </c>
      <c r="K8" s="1">
        <v>212.53378714166701</v>
      </c>
      <c r="L8" s="1">
        <v>123.832323114668</v>
      </c>
      <c r="M8" s="1">
        <v>1.33</v>
      </c>
      <c r="N8" s="1">
        <v>326.452778410093</v>
      </c>
      <c r="O8" s="1">
        <v>237.36139903136299</v>
      </c>
      <c r="P8">
        <f t="shared" si="0"/>
        <v>35.444386950000002</v>
      </c>
      <c r="Q8">
        <f t="shared" si="1"/>
        <v>0.90282278108353375</v>
      </c>
      <c r="R8">
        <f t="shared" si="2"/>
        <v>116.09145648260356</v>
      </c>
      <c r="S8">
        <f t="shared" si="3"/>
        <v>63.651269104819036</v>
      </c>
    </row>
    <row r="9" spans="1:19">
      <c r="A9" s="2">
        <v>0.01</v>
      </c>
      <c r="B9" s="1">
        <v>28.584627000000001</v>
      </c>
      <c r="C9" s="1">
        <v>1.11948286049001</v>
      </c>
      <c r="D9" s="1">
        <v>46.748553686824202</v>
      </c>
      <c r="F9" s="1">
        <v>59.78</v>
      </c>
      <c r="G9" s="1">
        <v>59.78</v>
      </c>
      <c r="H9" s="1">
        <v>119.33279651959</v>
      </c>
      <c r="I9" s="1">
        <v>65.572284414189795</v>
      </c>
      <c r="J9" s="1">
        <v>1.6103000000000001</v>
      </c>
      <c r="K9" s="1">
        <v>202.10663158775901</v>
      </c>
      <c r="L9" s="1">
        <v>111.385927027181</v>
      </c>
      <c r="M9" s="1">
        <v>1.61</v>
      </c>
      <c r="N9" s="1">
        <v>319.34550045598797</v>
      </c>
      <c r="O9" s="1">
        <v>210.695671295876</v>
      </c>
      <c r="P9">
        <f t="shared" si="0"/>
        <v>46.021249470000008</v>
      </c>
      <c r="Q9">
        <f t="shared" si="1"/>
        <v>0.69533096924845339</v>
      </c>
      <c r="R9">
        <f t="shared" si="2"/>
        <v>117.79292077572256</v>
      </c>
      <c r="S9">
        <f t="shared" si="3"/>
        <v>64.866048798021481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12.457089</v>
      </c>
      <c r="C13" s="1">
        <v>2.5688184454650602</v>
      </c>
      <c r="D13" s="1">
        <v>105.671699630794</v>
      </c>
      <c r="F13" s="1">
        <v>38.799999999999997</v>
      </c>
      <c r="G13" s="1">
        <v>38.799999999999997</v>
      </c>
      <c r="H13" s="1">
        <v>55.2761916458389</v>
      </c>
      <c r="I13" s="1">
        <v>37.806287425763998</v>
      </c>
      <c r="J13" s="1">
        <v>1.0653999999999999</v>
      </c>
      <c r="K13" s="1">
        <v>253.02341853661599</v>
      </c>
      <c r="L13" s="1">
        <v>167.66478209068501</v>
      </c>
      <c r="M13" s="1">
        <v>1.07</v>
      </c>
      <c r="N13" s="1">
        <v>341.66667970258499</v>
      </c>
      <c r="O13" s="1">
        <v>340.955203506999</v>
      </c>
      <c r="P13">
        <f t="shared" ref="P13:P19" si="4">B13*M13</f>
        <v>13.32908523</v>
      </c>
      <c r="Q13">
        <f t="shared" ref="Q13:Q19" si="5">C13/M13</f>
        <v>2.4007649023037945</v>
      </c>
      <c r="R13">
        <f t="shared" ref="R13:R19" si="6">1/(1/H13+1/(N13*B13))</f>
        <v>54.567506986110502</v>
      </c>
      <c r="S13">
        <f t="shared" ref="S13:S19" si="7">1/(1/I13+1/(O13*B13))</f>
        <v>37.472733911343738</v>
      </c>
    </row>
    <row r="14" spans="1:19">
      <c r="A14" s="2">
        <v>5.0000000000000002E-5</v>
      </c>
      <c r="B14" s="1">
        <v>19.967537</v>
      </c>
      <c r="C14" s="1">
        <v>1.6026012622388</v>
      </c>
      <c r="D14" s="1">
        <v>93.416352109354804</v>
      </c>
      <c r="F14" s="1">
        <v>40.33</v>
      </c>
      <c r="G14" s="1">
        <v>40.33</v>
      </c>
      <c r="H14" s="1">
        <v>56.533178918049202</v>
      </c>
      <c r="I14" s="1">
        <v>39.232869037910199</v>
      </c>
      <c r="J14" s="1">
        <v>1.2969999999999999</v>
      </c>
      <c r="K14" s="1">
        <v>225.41026427277501</v>
      </c>
      <c r="L14" s="1">
        <v>140.98045698771199</v>
      </c>
      <c r="M14" s="1">
        <v>1.3</v>
      </c>
      <c r="N14" s="1">
        <v>316.68472712246501</v>
      </c>
      <c r="O14" s="1">
        <v>238.850548931285</v>
      </c>
      <c r="P14">
        <f t="shared" si="4"/>
        <v>25.957798100000002</v>
      </c>
      <c r="Q14">
        <f t="shared" si="5"/>
        <v>1.2327702017221538</v>
      </c>
      <c r="R14">
        <f t="shared" si="6"/>
        <v>56.032234282322612</v>
      </c>
      <c r="S14">
        <f t="shared" si="7"/>
        <v>38.912764805727655</v>
      </c>
    </row>
    <row r="15" spans="1:19">
      <c r="A15" s="2">
        <v>1E-4</v>
      </c>
      <c r="B15" s="1">
        <v>22.592708999999999</v>
      </c>
      <c r="C15" s="1">
        <v>1.4163861447513799</v>
      </c>
      <c r="D15" s="1">
        <v>88.824634169360294</v>
      </c>
      <c r="F15" s="1">
        <v>41.27</v>
      </c>
      <c r="G15" s="1">
        <v>41.27</v>
      </c>
      <c r="H15" s="1">
        <v>56.887742172976601</v>
      </c>
      <c r="I15" s="1">
        <v>40.116673665487099</v>
      </c>
      <c r="J15" s="1">
        <v>1.5264</v>
      </c>
      <c r="K15" s="1">
        <v>215.66371555157701</v>
      </c>
      <c r="L15" s="1">
        <v>129.50446682073201</v>
      </c>
      <c r="M15" s="1">
        <v>1.53</v>
      </c>
      <c r="N15" s="1">
        <v>318.25814662771899</v>
      </c>
      <c r="O15" s="1">
        <v>224.44918074686899</v>
      </c>
      <c r="P15">
        <f t="shared" si="4"/>
        <v>34.566844770000003</v>
      </c>
      <c r="Q15">
        <f t="shared" si="5"/>
        <v>0.92574257826887574</v>
      </c>
      <c r="R15">
        <f t="shared" si="6"/>
        <v>56.441195290265831</v>
      </c>
      <c r="S15">
        <f t="shared" si="7"/>
        <v>39.801796435099497</v>
      </c>
    </row>
    <row r="16" spans="1:19">
      <c r="A16" s="2">
        <v>5.0000000000000001E-4</v>
      </c>
      <c r="B16" s="1">
        <v>26.7549239999999</v>
      </c>
      <c r="C16" s="1">
        <v>1.19604152117942</v>
      </c>
      <c r="D16" s="1">
        <v>77.512626785922095</v>
      </c>
      <c r="F16" s="1">
        <v>43.63</v>
      </c>
      <c r="G16" s="1">
        <v>43.63</v>
      </c>
      <c r="H16" s="1">
        <v>57.578244071505097</v>
      </c>
      <c r="I16" s="1">
        <v>42.349165866841702</v>
      </c>
      <c r="J16" s="1">
        <v>2.3664999999999998</v>
      </c>
      <c r="K16" s="1">
        <v>188.309587602368</v>
      </c>
      <c r="L16" s="1">
        <v>112.109495979242</v>
      </c>
      <c r="M16" s="1">
        <v>2.37</v>
      </c>
      <c r="N16" s="1">
        <v>317.79150861687799</v>
      </c>
      <c r="O16" s="1">
        <v>215.41762489892</v>
      </c>
      <c r="P16">
        <f t="shared" si="4"/>
        <v>63.409169879999766</v>
      </c>
      <c r="Q16">
        <f t="shared" si="5"/>
        <v>0.50465886969595775</v>
      </c>
      <c r="R16">
        <f t="shared" si="6"/>
        <v>57.190951003067816</v>
      </c>
      <c r="S16">
        <f t="shared" si="7"/>
        <v>42.04026060555762</v>
      </c>
    </row>
    <row r="17" spans="1:19">
      <c r="A17" s="2">
        <v>1E-3</v>
      </c>
      <c r="B17" s="1">
        <v>27.713249999999899</v>
      </c>
      <c r="C17" s="1">
        <v>1.15468232704572</v>
      </c>
      <c r="D17" s="1">
        <v>73.306080145578505</v>
      </c>
      <c r="F17" s="1">
        <v>44.88</v>
      </c>
      <c r="G17" s="1">
        <v>44.88</v>
      </c>
      <c r="H17" s="1">
        <v>57.772841557150997</v>
      </c>
      <c r="I17" s="1">
        <v>43.501602652187103</v>
      </c>
      <c r="J17" s="1">
        <v>2.8338999999999999</v>
      </c>
      <c r="K17" s="1">
        <v>187.431563436977</v>
      </c>
      <c r="L17" s="1">
        <v>108.712075587082</v>
      </c>
      <c r="M17" s="1">
        <v>2.84</v>
      </c>
      <c r="N17" s="1">
        <v>322.17221488543601</v>
      </c>
      <c r="O17" s="1">
        <v>221.09014479454501</v>
      </c>
      <c r="P17">
        <f t="shared" si="4"/>
        <v>78.705629999999715</v>
      </c>
      <c r="Q17">
        <f t="shared" si="5"/>
        <v>0.4065782841710282</v>
      </c>
      <c r="R17">
        <f t="shared" si="6"/>
        <v>57.4014168421986</v>
      </c>
      <c r="S17">
        <f t="shared" si="7"/>
        <v>43.194925695553451</v>
      </c>
    </row>
    <row r="18" spans="1:19">
      <c r="A18" s="2">
        <v>5.0000000000000001E-3</v>
      </c>
      <c r="B18" s="1">
        <v>29.052091000000001</v>
      </c>
      <c r="C18" s="1">
        <v>1.1014697702826199</v>
      </c>
      <c r="D18" s="1">
        <v>62.878544847709598</v>
      </c>
      <c r="F18" s="1">
        <v>47.07</v>
      </c>
      <c r="G18" s="1">
        <v>47.07</v>
      </c>
      <c r="H18" s="1">
        <v>58.295119682121097</v>
      </c>
      <c r="I18" s="1">
        <v>45.537743020940297</v>
      </c>
      <c r="J18" s="1">
        <v>4.6055999999999999</v>
      </c>
      <c r="K18" s="1">
        <v>206.557885840137</v>
      </c>
      <c r="L18" s="1">
        <v>106.435988656672</v>
      </c>
      <c r="M18" s="1">
        <v>4.62</v>
      </c>
      <c r="N18" s="1">
        <v>331.33204963735102</v>
      </c>
      <c r="O18" s="1">
        <v>235.24220878070699</v>
      </c>
      <c r="P18">
        <f t="shared" si="4"/>
        <v>134.22066042</v>
      </c>
      <c r="Q18">
        <f t="shared" si="5"/>
        <v>0.23841337019104328</v>
      </c>
      <c r="R18">
        <f t="shared" si="6"/>
        <v>57.944205140757887</v>
      </c>
      <c r="S18">
        <f t="shared" si="7"/>
        <v>45.236327096465388</v>
      </c>
    </row>
    <row r="19" spans="1:19">
      <c r="A19" s="2">
        <v>0.01</v>
      </c>
      <c r="B19" s="1">
        <v>29.300062</v>
      </c>
      <c r="C19" s="1">
        <v>1.0921478596188601</v>
      </c>
      <c r="D19" s="1">
        <v>59.281594174624502</v>
      </c>
      <c r="F19" s="1">
        <v>47.82</v>
      </c>
      <c r="G19" s="1">
        <v>47.82</v>
      </c>
      <c r="H19" s="1">
        <v>58.464589812273999</v>
      </c>
      <c r="I19" s="1">
        <v>46.244163880464498</v>
      </c>
      <c r="J19" s="1">
        <v>5.7119</v>
      </c>
      <c r="K19" s="1">
        <v>198.92361641817399</v>
      </c>
      <c r="L19" s="1">
        <v>108.47742067887501</v>
      </c>
      <c r="M19" s="1">
        <v>5.73</v>
      </c>
      <c r="N19" s="1">
        <v>340.12651362136</v>
      </c>
      <c r="O19" s="1">
        <v>247.04772795368501</v>
      </c>
      <c r="P19">
        <f t="shared" si="4"/>
        <v>167.88935526</v>
      </c>
      <c r="Q19">
        <f t="shared" si="5"/>
        <v>0.19060172070137171</v>
      </c>
      <c r="R19">
        <f t="shared" si="6"/>
        <v>58.123603917121649</v>
      </c>
      <c r="S19">
        <f t="shared" si="7"/>
        <v>45.950602622910267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3.6405080000000001</v>
      </c>
      <c r="C24" s="1">
        <v>8.7899820574491194</v>
      </c>
      <c r="D24" s="1">
        <v>104.825868524358</v>
      </c>
      <c r="F24" s="1">
        <v>66.623317999999998</v>
      </c>
      <c r="G24" s="1">
        <v>76.811386999999996</v>
      </c>
      <c r="H24" s="1">
        <v>72.995155941788497</v>
      </c>
      <c r="I24" s="1">
        <v>82.968532842162801</v>
      </c>
      <c r="J24" s="1">
        <v>1.0228999999999999</v>
      </c>
      <c r="K24" s="1">
        <v>328.726190453968</v>
      </c>
      <c r="L24" s="1">
        <v>356.04656658879298</v>
      </c>
      <c r="M24" s="1">
        <v>1.02</v>
      </c>
      <c r="N24" s="1">
        <v>404.84480657834598</v>
      </c>
      <c r="O24" s="1">
        <v>552.101271437636</v>
      </c>
      <c r="P24">
        <f>B24*M24</f>
        <v>3.71331816</v>
      </c>
      <c r="Q24">
        <f>C24/M24</f>
        <v>8.6176294680873724</v>
      </c>
      <c r="R24">
        <f>1/(1/H24+1/(N24*B24))</f>
        <v>69.55051598611</v>
      </c>
      <c r="S24">
        <f>1/(1/I24+1/(O24*B24))</f>
        <v>79.679419533977111</v>
      </c>
    </row>
    <row r="25" spans="1:19">
      <c r="A25" s="2">
        <v>5.0000000000000002E-5</v>
      </c>
      <c r="B25" s="1">
        <v>4.821637</v>
      </c>
      <c r="C25" s="1">
        <v>6.6367501327868501</v>
      </c>
      <c r="D25" s="1">
        <v>91.000348615698101</v>
      </c>
      <c r="F25" s="1">
        <v>79.224486999999996</v>
      </c>
      <c r="G25" s="1">
        <v>85.105947</v>
      </c>
      <c r="H25" s="1">
        <v>88.656165816552701</v>
      </c>
      <c r="I25" s="1">
        <v>92.972101955571105</v>
      </c>
      <c r="J25" s="1">
        <v>1.0355000000000001</v>
      </c>
      <c r="K25" s="1">
        <v>316.864914585169</v>
      </c>
      <c r="L25" s="1">
        <v>289.11965996864097</v>
      </c>
      <c r="M25" s="1">
        <v>1.04</v>
      </c>
      <c r="N25" s="1">
        <v>393.13558265832398</v>
      </c>
      <c r="O25" s="1">
        <v>495.97966542526899</v>
      </c>
      <c r="P25">
        <f t="shared" ref="P25:P30" si="8">B25*M25</f>
        <v>5.01450248</v>
      </c>
      <c r="Q25">
        <f t="shared" ref="Q25:Q30" si="9">C25/M25</f>
        <v>6.3814905122950476</v>
      </c>
      <c r="R25">
        <f t="shared" ref="R25:R30" si="10">1/(1/H25+1/(N25*B25))</f>
        <v>84.69494048551482</v>
      </c>
      <c r="S25">
        <f t="shared" ref="S25:S30" si="11">1/(1/I25+1/(O25*B25))</f>
        <v>89.492875245386941</v>
      </c>
    </row>
    <row r="26" spans="1:19">
      <c r="A26" s="2">
        <v>1E-4</v>
      </c>
      <c r="B26" s="1">
        <v>5.5610619999999997</v>
      </c>
      <c r="C26" s="1">
        <v>5.7542965714102801</v>
      </c>
      <c r="D26" s="1">
        <v>85.096938982675596</v>
      </c>
      <c r="F26" s="1">
        <v>84.678094999999999</v>
      </c>
      <c r="G26" s="1">
        <v>89.126236000000006</v>
      </c>
      <c r="H26" s="1">
        <v>96.214942663806099</v>
      </c>
      <c r="I26" s="1">
        <v>98.196082873681803</v>
      </c>
      <c r="J26" s="1">
        <v>1.0449999999999999</v>
      </c>
      <c r="K26" s="1">
        <v>304.51881944292097</v>
      </c>
      <c r="L26" s="1">
        <v>255.681882998546</v>
      </c>
      <c r="M26" s="1">
        <v>1.05</v>
      </c>
      <c r="N26" s="1">
        <v>385.13464487811802</v>
      </c>
      <c r="O26" s="1">
        <v>463.75097816143801</v>
      </c>
      <c r="P26">
        <f t="shared" si="8"/>
        <v>5.8391150999999999</v>
      </c>
      <c r="Q26">
        <f t="shared" si="9"/>
        <v>5.4802824489621713</v>
      </c>
      <c r="R26">
        <f t="shared" si="10"/>
        <v>92.078468754495489</v>
      </c>
      <c r="S26">
        <f t="shared" si="11"/>
        <v>94.594307772407333</v>
      </c>
    </row>
    <row r="27" spans="1:19">
      <c r="A27" s="2">
        <v>5.0000000000000001E-4</v>
      </c>
      <c r="B27" s="1">
        <v>8.2490269999999999</v>
      </c>
      <c r="C27" s="1">
        <v>3.87924539463866</v>
      </c>
      <c r="D27" s="1">
        <v>71.443469619923604</v>
      </c>
      <c r="F27" s="1">
        <v>102.673902</v>
      </c>
      <c r="G27" s="1">
        <v>98.653487999999996</v>
      </c>
      <c r="H27" s="1">
        <v>119.57788997670499</v>
      </c>
      <c r="I27" s="1">
        <v>109.62131865014</v>
      </c>
      <c r="J27" s="1">
        <v>1.0899000000000001</v>
      </c>
      <c r="K27" s="1">
        <v>269.738926068257</v>
      </c>
      <c r="L27" s="1">
        <v>205.480198821247</v>
      </c>
      <c r="M27" s="1">
        <v>1.0900000000000001</v>
      </c>
      <c r="N27" s="1">
        <v>344.74802232337402</v>
      </c>
      <c r="O27" s="1">
        <v>337.22507182984998</v>
      </c>
      <c r="P27">
        <f t="shared" si="8"/>
        <v>8.9914394299999998</v>
      </c>
      <c r="Q27">
        <f t="shared" si="9"/>
        <v>3.5589407290262933</v>
      </c>
      <c r="R27">
        <f t="shared" si="10"/>
        <v>114.7527546646149</v>
      </c>
      <c r="S27">
        <f t="shared" si="11"/>
        <v>105.46525814963789</v>
      </c>
    </row>
    <row r="28" spans="1:19">
      <c r="A28" s="2">
        <v>1E-3</v>
      </c>
      <c r="B28" s="1">
        <v>10.075348</v>
      </c>
      <c r="C28" s="1">
        <v>3.1760689556330899</v>
      </c>
      <c r="D28" s="1">
        <v>65.626114698205299</v>
      </c>
      <c r="F28" s="1">
        <v>110.47632299999999</v>
      </c>
      <c r="G28" s="1">
        <v>103.005289</v>
      </c>
      <c r="H28" s="1">
        <v>131.40208791069699</v>
      </c>
      <c r="I28" s="1">
        <v>115.057525350985</v>
      </c>
      <c r="J28" s="1">
        <v>1.1387</v>
      </c>
      <c r="K28" s="1">
        <v>261.19520489470398</v>
      </c>
      <c r="L28" s="1">
        <v>174.18450056636101</v>
      </c>
      <c r="M28" s="1">
        <v>1.1399999999999999</v>
      </c>
      <c r="N28" s="1">
        <v>326.34232269218001</v>
      </c>
      <c r="O28" s="1">
        <v>273.56998311063097</v>
      </c>
      <c r="P28">
        <f t="shared" si="8"/>
        <v>11.48589672</v>
      </c>
      <c r="Q28">
        <f t="shared" si="9"/>
        <v>2.7860253996781492</v>
      </c>
      <c r="R28">
        <f t="shared" si="10"/>
        <v>126.35253675985112</v>
      </c>
      <c r="S28">
        <f t="shared" si="11"/>
        <v>110.4471015038385</v>
      </c>
    </row>
    <row r="29" spans="1:19">
      <c r="A29" s="2">
        <v>5.0000000000000001E-3</v>
      </c>
      <c r="B29" s="1">
        <v>16.758023999999999</v>
      </c>
      <c r="C29" s="1">
        <v>1.9095330093810501</v>
      </c>
      <c r="D29" s="1">
        <v>52.340946532001396</v>
      </c>
      <c r="F29" s="1">
        <v>125.509529</v>
      </c>
      <c r="G29" s="1">
        <v>123.855571</v>
      </c>
      <c r="H29" s="1">
        <v>152.608775543196</v>
      </c>
      <c r="I29" s="1">
        <v>142.26344960863401</v>
      </c>
      <c r="J29" s="1">
        <v>1.4746999999999999</v>
      </c>
      <c r="K29" s="1">
        <v>242.80430745043401</v>
      </c>
      <c r="L29" s="1">
        <v>163.53146298166101</v>
      </c>
      <c r="M29" s="1">
        <v>1.48</v>
      </c>
      <c r="N29" s="1">
        <v>311.81827030067598</v>
      </c>
      <c r="O29" s="1">
        <v>222.69054651858201</v>
      </c>
      <c r="P29">
        <f t="shared" si="8"/>
        <v>24.801875519999999</v>
      </c>
      <c r="Q29">
        <f t="shared" si="9"/>
        <v>1.2902250063385474</v>
      </c>
      <c r="R29">
        <f t="shared" si="10"/>
        <v>148.27832761525158</v>
      </c>
      <c r="S29">
        <f t="shared" si="11"/>
        <v>137.0393200232453</v>
      </c>
    </row>
    <row r="30" spans="1:19">
      <c r="A30" s="2">
        <v>0.01</v>
      </c>
      <c r="B30" s="1">
        <v>22.214991999999999</v>
      </c>
      <c r="C30" s="1">
        <v>1.44046867088675</v>
      </c>
      <c r="D30" s="1">
        <v>46.748553686824103</v>
      </c>
      <c r="F30" s="1">
        <v>130.58399499999999</v>
      </c>
      <c r="G30" s="1">
        <v>161.964485</v>
      </c>
      <c r="H30" s="1">
        <v>160.23011570071401</v>
      </c>
      <c r="I30" s="1">
        <v>197.00962896955201</v>
      </c>
      <c r="J30" s="1">
        <v>1.7362</v>
      </c>
      <c r="K30" s="1">
        <v>214.74395881872999</v>
      </c>
      <c r="L30" s="1">
        <v>138.20541934193599</v>
      </c>
      <c r="M30" s="1">
        <v>1.74</v>
      </c>
      <c r="N30" s="1">
        <v>314.555718558038</v>
      </c>
      <c r="O30" s="1">
        <v>221.71584958574201</v>
      </c>
      <c r="P30">
        <f t="shared" si="8"/>
        <v>38.654086079999999</v>
      </c>
      <c r="Q30">
        <f t="shared" si="9"/>
        <v>0.82785555798089083</v>
      </c>
      <c r="R30">
        <f t="shared" si="10"/>
        <v>156.63842679849412</v>
      </c>
      <c r="S30">
        <f t="shared" si="11"/>
        <v>189.432594563321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1.5924720000000001</v>
      </c>
      <c r="C35" s="1">
        <v>20.094544833441301</v>
      </c>
      <c r="H35" s="1">
        <v>154.84525290814301</v>
      </c>
      <c r="I35" s="1">
        <v>115.33378272501299</v>
      </c>
      <c r="J35" s="1">
        <v>1.0031000000000001</v>
      </c>
      <c r="K35" s="1">
        <v>346.115685139417</v>
      </c>
      <c r="L35" s="1">
        <v>478.406532037918</v>
      </c>
      <c r="M35" s="1">
        <v>1</v>
      </c>
      <c r="N35" s="1">
        <v>424.27817906469897</v>
      </c>
      <c r="O35" s="1">
        <v>599.03368816002001</v>
      </c>
      <c r="P35">
        <f>B35*M35</f>
        <v>1.5924720000000001</v>
      </c>
      <c r="Q35">
        <f>C35/M35</f>
        <v>20.094544833441301</v>
      </c>
      <c r="R35">
        <f>1/(1/H35+1/(N35*B35))</f>
        <v>125.97450389631958</v>
      </c>
      <c r="S35">
        <f>1/(1/I35+1/(O35*B35))</f>
        <v>102.89372553695259</v>
      </c>
    </row>
    <row r="36" spans="1:19">
      <c r="A36" s="4">
        <v>5.0000000000000002E-5</v>
      </c>
      <c r="B36" s="1">
        <v>1.7590330000000001</v>
      </c>
      <c r="C36" s="1">
        <v>18.191813342899099</v>
      </c>
      <c r="H36" s="1">
        <v>158.72660591509899</v>
      </c>
      <c r="I36" s="1">
        <v>124.56391223387899</v>
      </c>
      <c r="J36" s="1">
        <v>1.0037</v>
      </c>
      <c r="K36" s="1">
        <v>340.57404196923397</v>
      </c>
      <c r="L36" s="1">
        <v>448.451770693534</v>
      </c>
      <c r="M36" s="1">
        <v>1</v>
      </c>
      <c r="N36" s="1">
        <v>415.93100910130698</v>
      </c>
      <c r="O36" s="1">
        <v>583.29333720333295</v>
      </c>
      <c r="P36">
        <f t="shared" ref="P36:P41" si="12">B36*M36</f>
        <v>1.7590330000000001</v>
      </c>
      <c r="Q36">
        <f t="shared" ref="Q36:Q41" si="13">C36/M36</f>
        <v>18.191813342899099</v>
      </c>
      <c r="R36">
        <f t="shared" ref="R36:R41" si="14">1/(1/H36+1/(N36*B36))</f>
        <v>130.43012898814018</v>
      </c>
      <c r="S36">
        <f t="shared" ref="S36:S41" si="15">1/(1/I36+1/(O36*B36))</f>
        <v>111.07858260572037</v>
      </c>
    </row>
    <row r="37" spans="1:19">
      <c r="A37" s="4">
        <v>1E-4</v>
      </c>
      <c r="B37" s="1">
        <v>1.864125</v>
      </c>
      <c r="C37" s="1">
        <v>17.166230805337602</v>
      </c>
      <c r="H37" s="1">
        <v>160.064096367524</v>
      </c>
      <c r="I37" s="1">
        <v>128.053984791338</v>
      </c>
      <c r="J37" s="1">
        <v>1.0029999999999999</v>
      </c>
      <c r="K37" s="1">
        <v>343.68391426195302</v>
      </c>
      <c r="L37" s="1">
        <v>444.08688722335199</v>
      </c>
      <c r="M37" s="1">
        <v>1</v>
      </c>
      <c r="N37" s="1">
        <v>419.69772069033201</v>
      </c>
      <c r="O37" s="1">
        <v>580.52076571267901</v>
      </c>
      <c r="P37">
        <f t="shared" si="12"/>
        <v>1.864125</v>
      </c>
      <c r="Q37">
        <f t="shared" si="13"/>
        <v>17.166230805337602</v>
      </c>
      <c r="R37">
        <f t="shared" si="14"/>
        <v>132.87859675437065</v>
      </c>
      <c r="S37">
        <f t="shared" si="15"/>
        <v>114.5044977684782</v>
      </c>
    </row>
    <row r="38" spans="1:19">
      <c r="A38" s="2">
        <v>5.0000000000000001E-4</v>
      </c>
      <c r="B38" s="1">
        <v>2.2655349999999999</v>
      </c>
      <c r="C38" s="1">
        <v>14.124699022526601</v>
      </c>
      <c r="D38" s="1">
        <v>109.817999808235</v>
      </c>
      <c r="H38" s="1">
        <v>162.99890852573199</v>
      </c>
      <c r="I38" s="1">
        <v>134.34115542191699</v>
      </c>
      <c r="J38" s="1">
        <v>1.0072000000000001</v>
      </c>
      <c r="K38" s="1">
        <v>313.86061508424001</v>
      </c>
      <c r="L38" s="1">
        <v>302.477911781714</v>
      </c>
      <c r="M38" s="1">
        <v>1.01</v>
      </c>
      <c r="N38" s="1">
        <v>384.90412610212701</v>
      </c>
      <c r="O38" s="1">
        <v>476.87805701330501</v>
      </c>
      <c r="P38">
        <f t="shared" si="12"/>
        <v>2.2881903499999998</v>
      </c>
      <c r="Q38">
        <f t="shared" si="13"/>
        <v>13.98485051735307</v>
      </c>
      <c r="R38">
        <f t="shared" si="14"/>
        <v>137.32903534538187</v>
      </c>
      <c r="S38">
        <f t="shared" si="15"/>
        <v>119.48384632943623</v>
      </c>
    </row>
    <row r="39" spans="1:19">
      <c r="A39" s="2">
        <v>1E-3</v>
      </c>
      <c r="B39" s="1">
        <v>2.4740929999999999</v>
      </c>
      <c r="C39" s="1">
        <v>12.9340327950485</v>
      </c>
      <c r="D39" s="1">
        <v>103.64231508078301</v>
      </c>
      <c r="H39" s="1">
        <v>165.389600548792</v>
      </c>
      <c r="I39" s="1">
        <v>138.47155288815901</v>
      </c>
      <c r="J39" s="1">
        <v>1.0067999999999999</v>
      </c>
      <c r="K39" s="1">
        <v>312.54886410608702</v>
      </c>
      <c r="L39" s="1">
        <v>296.439924358067</v>
      </c>
      <c r="M39" s="1">
        <v>1.01</v>
      </c>
      <c r="N39" s="1">
        <v>382.09912101296902</v>
      </c>
      <c r="O39" s="1">
        <v>478.46821753781001</v>
      </c>
      <c r="P39">
        <f t="shared" si="12"/>
        <v>2.49883393</v>
      </c>
      <c r="Q39">
        <f t="shared" si="13"/>
        <v>12.805973064404455</v>
      </c>
      <c r="R39">
        <f t="shared" si="14"/>
        <v>140.76299096515316</v>
      </c>
      <c r="S39">
        <f t="shared" si="15"/>
        <v>123.97019318680027</v>
      </c>
    </row>
    <row r="40" spans="1:19">
      <c r="A40" s="2">
        <v>5.0000000000000001E-3</v>
      </c>
      <c r="B40" s="1">
        <v>2.9988769999999998</v>
      </c>
      <c r="C40" s="1">
        <v>10.670661050786601</v>
      </c>
      <c r="D40" s="1">
        <v>91.052597133513302</v>
      </c>
      <c r="H40" s="1">
        <v>172.89941018263701</v>
      </c>
      <c r="I40" s="1">
        <v>158.996151501795</v>
      </c>
      <c r="J40" s="1">
        <v>1.0096000000000001</v>
      </c>
      <c r="K40" s="1">
        <v>263.93596829027501</v>
      </c>
      <c r="L40" s="1">
        <v>202.76283263381401</v>
      </c>
      <c r="M40" s="1">
        <v>1.01</v>
      </c>
      <c r="N40" s="1">
        <v>318.41440846500598</v>
      </c>
      <c r="O40" s="1">
        <v>326.29092488317701</v>
      </c>
      <c r="P40">
        <f t="shared" si="12"/>
        <v>3.0288657699999999</v>
      </c>
      <c r="Q40">
        <f t="shared" si="13"/>
        <v>10.565010941372872</v>
      </c>
      <c r="R40">
        <f t="shared" si="14"/>
        <v>146.39240348198851</v>
      </c>
      <c r="S40">
        <f t="shared" si="15"/>
        <v>136.77222130355835</v>
      </c>
    </row>
    <row r="41" spans="1:19">
      <c r="A41" s="2">
        <v>0.01</v>
      </c>
      <c r="B41" s="1">
        <v>3.2915070000000002</v>
      </c>
      <c r="C41" s="1">
        <v>9.7219905654157799</v>
      </c>
      <c r="D41" s="1">
        <v>85.008990499339902</v>
      </c>
      <c r="H41" s="1">
        <v>177.26879713445101</v>
      </c>
      <c r="I41" s="1">
        <v>172.38784824617699</v>
      </c>
      <c r="J41" s="1">
        <v>1.0122</v>
      </c>
      <c r="K41" s="1">
        <v>242.689282146263</v>
      </c>
      <c r="L41" s="1">
        <v>167.273867223537</v>
      </c>
      <c r="M41" s="1">
        <v>1.01</v>
      </c>
      <c r="N41" s="1">
        <v>288.79893796838297</v>
      </c>
      <c r="O41" s="1">
        <v>253.82276643786599</v>
      </c>
      <c r="P41">
        <f t="shared" si="12"/>
        <v>3.3244220700000002</v>
      </c>
      <c r="Q41">
        <f t="shared" si="13"/>
        <v>9.6257332330849312</v>
      </c>
      <c r="R41">
        <f t="shared" si="14"/>
        <v>149.40679763072382</v>
      </c>
      <c r="S41">
        <f t="shared" si="15"/>
        <v>142.90166380067711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58.7777777777777</v>
      </c>
      <c r="C46" s="1">
        <v>0.5</v>
      </c>
      <c r="D46" s="1">
        <v>47.306261982676602</v>
      </c>
      <c r="H46" s="1">
        <v>325.28268430293502</v>
      </c>
      <c r="I46" s="1">
        <v>478.83650700465301</v>
      </c>
      <c r="J46" s="1">
        <v>1.0024</v>
      </c>
      <c r="K46" s="1">
        <v>176.79576120665399</v>
      </c>
      <c r="L46" s="1">
        <v>72.051294213205196</v>
      </c>
      <c r="M46" s="1">
        <v>1</v>
      </c>
      <c r="N46" s="1">
        <v>308.90213548943598</v>
      </c>
      <c r="O46" s="1">
        <v>271.10218070447399</v>
      </c>
      <c r="P46">
        <f>B46*M46</f>
        <v>58.7777777777777</v>
      </c>
      <c r="Q46">
        <f>C46/M46</f>
        <v>0.5</v>
      </c>
      <c r="R46">
        <f>1/(1/H46+1/(N46*B46))</f>
        <v>319.55767593332428</v>
      </c>
      <c r="S46">
        <f>1/(1/I46+1/(O46*B46))</f>
        <v>464.86735229688702</v>
      </c>
    </row>
    <row r="47" spans="1:19">
      <c r="A47" s="2">
        <v>1</v>
      </c>
      <c r="B47" s="1">
        <v>29.3888888888888</v>
      </c>
      <c r="C47" s="1">
        <v>1</v>
      </c>
      <c r="D47" s="1">
        <v>56.133710425541302</v>
      </c>
      <c r="H47" s="1">
        <v>258.203130295233</v>
      </c>
      <c r="I47" s="1">
        <v>335.994122026583</v>
      </c>
      <c r="J47" s="1">
        <v>0.99970000000000003</v>
      </c>
      <c r="K47" s="1">
        <v>225.69680138413199</v>
      </c>
      <c r="L47" s="1">
        <v>209.98919555580699</v>
      </c>
      <c r="M47" s="1">
        <v>1</v>
      </c>
      <c r="N47" s="1">
        <v>371.79727639470701</v>
      </c>
      <c r="O47" s="1">
        <v>435.26538139368603</v>
      </c>
      <c r="P47">
        <f t="shared" ref="P47:P53" si="16">B47*M47</f>
        <v>29.3888888888888</v>
      </c>
      <c r="Q47">
        <f t="shared" ref="Q47:Q53" si="17">C47/M47</f>
        <v>1</v>
      </c>
      <c r="R47">
        <f t="shared" ref="R47:R53" si="18">1/(1/H47+1/(N47*B47))</f>
        <v>252.24252402130026</v>
      </c>
      <c r="S47">
        <f t="shared" ref="S47:S53" si="19">1/(1/I47+1/(O47*B47))</f>
        <v>327.39476237125399</v>
      </c>
    </row>
    <row r="48" spans="1:19">
      <c r="A48" s="2">
        <v>2</v>
      </c>
      <c r="B48" s="1">
        <v>14.6944444444444</v>
      </c>
      <c r="C48" s="1">
        <v>2</v>
      </c>
      <c r="D48" s="1">
        <v>66.029191455170206</v>
      </c>
      <c r="H48" s="1">
        <v>192.527431122499</v>
      </c>
      <c r="I48" s="1">
        <v>235.21605289882299</v>
      </c>
      <c r="J48" s="1">
        <v>0.99860000000000004</v>
      </c>
      <c r="K48" s="1">
        <v>280.85208454554299</v>
      </c>
      <c r="L48" s="1">
        <v>302.62339915334098</v>
      </c>
      <c r="M48" s="1">
        <v>1</v>
      </c>
      <c r="N48" s="1">
        <v>388.32039591975303</v>
      </c>
      <c r="O48" s="1">
        <v>437.25545981316702</v>
      </c>
      <c r="P48">
        <f t="shared" si="16"/>
        <v>14.6944444444444</v>
      </c>
      <c r="Q48">
        <f t="shared" si="17"/>
        <v>2</v>
      </c>
      <c r="R48">
        <f t="shared" si="18"/>
        <v>186.24351467595017</v>
      </c>
      <c r="S48">
        <f t="shared" si="19"/>
        <v>226.90930830368174</v>
      </c>
    </row>
    <row r="49" spans="1:19">
      <c r="A49" s="2">
        <v>4</v>
      </c>
      <c r="B49" s="1">
        <v>7.3472222222222197</v>
      </c>
      <c r="C49" s="1">
        <v>4</v>
      </c>
      <c r="D49" s="1">
        <v>80.450015059083398</v>
      </c>
      <c r="H49" s="1">
        <v>105.08841646300201</v>
      </c>
      <c r="I49" s="1">
        <v>163.25231509898401</v>
      </c>
      <c r="J49" s="1">
        <v>0.99849999999999905</v>
      </c>
      <c r="K49" s="1">
        <v>316.30053533219098</v>
      </c>
      <c r="L49" s="1">
        <v>398.28873758160103</v>
      </c>
      <c r="M49" s="1">
        <v>1</v>
      </c>
      <c r="N49" s="1">
        <v>415.92337309166197</v>
      </c>
      <c r="O49" s="1">
        <v>553.85954095805403</v>
      </c>
      <c r="P49">
        <f t="shared" si="16"/>
        <v>7.3472222222222197</v>
      </c>
      <c r="Q49">
        <f t="shared" si="17"/>
        <v>4</v>
      </c>
      <c r="R49">
        <f t="shared" si="18"/>
        <v>101.59468645515058</v>
      </c>
      <c r="S49">
        <f t="shared" si="19"/>
        <v>156.95560970825056</v>
      </c>
    </row>
    <row r="50" spans="1:19">
      <c r="A50" s="2">
        <v>6</v>
      </c>
      <c r="B50" s="1">
        <v>4.8981481481481399</v>
      </c>
      <c r="C50" s="1">
        <v>6</v>
      </c>
      <c r="D50" s="1">
        <v>92.762601709612099</v>
      </c>
      <c r="H50" s="1">
        <v>82.939527567856402</v>
      </c>
      <c r="I50" s="1">
        <v>133.32319579815999</v>
      </c>
      <c r="J50" s="1">
        <v>0.99849999999999905</v>
      </c>
      <c r="K50" s="1">
        <v>335.36097591865001</v>
      </c>
      <c r="L50" s="1">
        <v>442.25491791680503</v>
      </c>
      <c r="M50" s="1">
        <v>1</v>
      </c>
      <c r="N50" s="1">
        <v>425.82244270575097</v>
      </c>
      <c r="O50" s="1">
        <v>560.35646122015703</v>
      </c>
      <c r="P50">
        <f t="shared" si="16"/>
        <v>4.8981481481481399</v>
      </c>
      <c r="Q50">
        <f t="shared" si="17"/>
        <v>6</v>
      </c>
      <c r="R50">
        <f t="shared" si="18"/>
        <v>79.767569389675629</v>
      </c>
      <c r="S50">
        <f t="shared" si="19"/>
        <v>127.14707490786483</v>
      </c>
    </row>
    <row r="51" spans="1:19">
      <c r="A51" s="2">
        <v>8</v>
      </c>
      <c r="B51" s="1">
        <v>3.6736111111111098</v>
      </c>
      <c r="C51" s="1">
        <v>8</v>
      </c>
      <c r="D51" s="1">
        <v>104.738572643607</v>
      </c>
      <c r="H51" s="1">
        <v>72.354217159214201</v>
      </c>
      <c r="I51" s="1">
        <v>119.935674575653</v>
      </c>
      <c r="J51" s="1">
        <v>0.99849999999999905</v>
      </c>
      <c r="K51" s="1">
        <v>340.41089772474601</v>
      </c>
      <c r="L51" s="1">
        <v>440.080453426492</v>
      </c>
      <c r="M51" s="1">
        <v>1</v>
      </c>
      <c r="N51" s="1">
        <v>428.62312767037002</v>
      </c>
      <c r="O51" s="1">
        <v>575.54727449756797</v>
      </c>
      <c r="P51">
        <f t="shared" si="16"/>
        <v>3.6736111111111098</v>
      </c>
      <c r="Q51">
        <f t="shared" si="17"/>
        <v>8</v>
      </c>
      <c r="R51">
        <f t="shared" si="18"/>
        <v>69.175531569078956</v>
      </c>
      <c r="S51">
        <f t="shared" si="19"/>
        <v>113.4975316021318</v>
      </c>
    </row>
    <row r="52" spans="1:19">
      <c r="A52" s="2">
        <v>12</v>
      </c>
      <c r="B52" s="1">
        <v>2.44907407407407</v>
      </c>
      <c r="C52" s="1">
        <v>12</v>
      </c>
      <c r="D52" s="1">
        <v>128.63716378807101</v>
      </c>
      <c r="H52" s="1">
        <v>64.433741288254296</v>
      </c>
      <c r="I52" s="1">
        <v>108.06808749421199</v>
      </c>
      <c r="J52" s="1">
        <v>0.99919999999999998</v>
      </c>
      <c r="K52" s="1">
        <v>324.11632453508702</v>
      </c>
      <c r="L52" s="1">
        <v>331.88739525894101</v>
      </c>
      <c r="M52" s="1">
        <v>1</v>
      </c>
      <c r="N52" s="1">
        <v>393.56047779090102</v>
      </c>
      <c r="O52" s="1">
        <v>556.40606886415605</v>
      </c>
      <c r="P52">
        <f t="shared" si="16"/>
        <v>2.44907407407407</v>
      </c>
      <c r="Q52">
        <f t="shared" si="17"/>
        <v>12</v>
      </c>
      <c r="R52">
        <f t="shared" si="18"/>
        <v>60.396264597384544</v>
      </c>
      <c r="S52">
        <f t="shared" si="19"/>
        <v>100.12742505749179</v>
      </c>
    </row>
    <row r="53" spans="1:19">
      <c r="A53" s="2">
        <v>16</v>
      </c>
      <c r="B53" s="1">
        <v>1.83680555555555</v>
      </c>
      <c r="C53" s="1">
        <v>16</v>
      </c>
      <c r="D53" s="1">
        <v>152.70901889044001</v>
      </c>
      <c r="H53" s="1">
        <v>70.422789491602003</v>
      </c>
      <c r="I53" s="1">
        <v>103.020421435654</v>
      </c>
      <c r="J53" s="1">
        <v>1.0013000000000001</v>
      </c>
      <c r="K53" s="1">
        <v>326.95315869565502</v>
      </c>
      <c r="L53" s="1">
        <v>331.04700498236502</v>
      </c>
      <c r="M53" s="1">
        <v>1</v>
      </c>
      <c r="N53" s="1">
        <v>391.57640057164798</v>
      </c>
      <c r="O53" s="1">
        <v>528.10337525561999</v>
      </c>
      <c r="P53">
        <f t="shared" si="16"/>
        <v>1.83680555555555</v>
      </c>
      <c r="Q53">
        <f t="shared" si="17"/>
        <v>16</v>
      </c>
      <c r="R53">
        <f t="shared" si="18"/>
        <v>64.142503302622643</v>
      </c>
      <c r="S53">
        <f t="shared" si="19"/>
        <v>93.129670597126335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2">
        <v>1.0000000000000001E-5</v>
      </c>
      <c r="B58" s="1">
        <v>5.2151699999999996</v>
      </c>
      <c r="C58" s="1">
        <v>6.1359457122203098</v>
      </c>
      <c r="D58" s="1">
        <v>61.991796667126998</v>
      </c>
      <c r="F58" s="1">
        <v>146.404</v>
      </c>
      <c r="G58" s="1">
        <v>108.30200000000001</v>
      </c>
      <c r="H58" s="1">
        <v>150.41140699442201</v>
      </c>
      <c r="I58" s="1">
        <v>108.98738255180299</v>
      </c>
      <c r="J58" s="1">
        <v>1.2067000000000001</v>
      </c>
      <c r="K58" s="1">
        <v>275.74710307237302</v>
      </c>
      <c r="L58" s="1">
        <v>203.59291641559901</v>
      </c>
      <c r="M58" s="1">
        <v>1.21</v>
      </c>
      <c r="N58" s="1">
        <v>329.48695511941702</v>
      </c>
      <c r="O58" s="1">
        <v>244.608348373534</v>
      </c>
      <c r="P58">
        <f>B58*M58</f>
        <v>6.3103556999999997</v>
      </c>
      <c r="Q58">
        <f>C58/M58</f>
        <v>5.071029514231661</v>
      </c>
      <c r="R58">
        <f>1/(1/H58+1/(N58*B58))</f>
        <v>138.30508483921523</v>
      </c>
      <c r="S58">
        <f>1/(1/I58+1/(O58*B58))</f>
        <v>100.40893248873948</v>
      </c>
    </row>
    <row r="59" spans="1:19">
      <c r="A59" s="2">
        <v>5.0000000000000002E-5</v>
      </c>
      <c r="B59" s="1">
        <v>7.1966049999999999</v>
      </c>
      <c r="C59" s="1">
        <v>4.4465411120938203</v>
      </c>
      <c r="D59" s="1">
        <v>91.000348181682298</v>
      </c>
      <c r="F59" s="1">
        <v>147.047</v>
      </c>
      <c r="G59" s="1">
        <v>108.71599999999999</v>
      </c>
      <c r="H59" s="1">
        <v>150.88859627891699</v>
      </c>
      <c r="I59" s="1">
        <v>109.443488717503</v>
      </c>
      <c r="J59" s="1">
        <v>1.2313000000000001</v>
      </c>
      <c r="K59" s="1">
        <v>273.86525581669503</v>
      </c>
      <c r="L59" s="1">
        <v>195.56699978381599</v>
      </c>
      <c r="M59" s="1">
        <v>1.23</v>
      </c>
      <c r="N59" s="1">
        <v>328.03220244973801</v>
      </c>
      <c r="O59" s="1">
        <v>234.64037234426101</v>
      </c>
      <c r="P59">
        <f t="shared" ref="P59:P64" si="20">B59*M59</f>
        <v>8.8518241500000006</v>
      </c>
      <c r="Q59">
        <f t="shared" ref="Q59:Q64" si="21">C59/M59</f>
        <v>3.6150740748730246</v>
      </c>
      <c r="R59">
        <f t="shared" ref="R59:R64" si="22">1/(1/H59+1/(N59*B59))</f>
        <v>141.82373444357154</v>
      </c>
      <c r="S59">
        <f t="shared" ref="S59:S64" si="23">1/(1/I59+1/(O59*B59))</f>
        <v>102.78192378639706</v>
      </c>
    </row>
    <row r="60" spans="1:19">
      <c r="A60" s="2">
        <v>1E-4</v>
      </c>
      <c r="B60" s="1">
        <v>8.2570219999999992</v>
      </c>
      <c r="C60" s="1">
        <v>3.8754892502405802</v>
      </c>
      <c r="D60" s="1">
        <v>85.096938408232305</v>
      </c>
      <c r="F60" s="1">
        <v>147.10499999999999</v>
      </c>
      <c r="G60" s="1">
        <v>108.92100000000001</v>
      </c>
      <c r="H60" s="1">
        <v>151.03877881166801</v>
      </c>
      <c r="I60" s="1">
        <v>109.611438821767</v>
      </c>
      <c r="J60" s="1">
        <v>1.2290000000000001</v>
      </c>
      <c r="K60" s="1">
        <v>268.87481314726199</v>
      </c>
      <c r="L60" s="1">
        <v>185.32799042761101</v>
      </c>
      <c r="M60" s="1">
        <v>1.23</v>
      </c>
      <c r="N60" s="1">
        <v>327.180752695916</v>
      </c>
      <c r="O60" s="1">
        <v>229.95347292265799</v>
      </c>
      <c r="P60">
        <f t="shared" si="20"/>
        <v>10.156137059999999</v>
      </c>
      <c r="Q60">
        <f t="shared" si="21"/>
        <v>3.1508042684882764</v>
      </c>
      <c r="R60">
        <f t="shared" si="22"/>
        <v>143.04155065909401</v>
      </c>
      <c r="S60">
        <f t="shared" si="23"/>
        <v>103.62905853795155</v>
      </c>
    </row>
    <row r="61" spans="1:19">
      <c r="A61" s="2">
        <v>5.0000000000000001E-4</v>
      </c>
      <c r="B61" s="1">
        <v>10.917396999999999</v>
      </c>
      <c r="C61" s="1">
        <v>2.9311016169880002</v>
      </c>
      <c r="D61" s="1">
        <v>71.443469619923604</v>
      </c>
      <c r="F61" s="1">
        <v>147.399</v>
      </c>
      <c r="G61" s="1">
        <v>109.5</v>
      </c>
      <c r="H61" s="1">
        <v>151.361529373698</v>
      </c>
      <c r="I61" s="1">
        <v>110.18922634089201</v>
      </c>
      <c r="J61" s="1">
        <v>1.2052</v>
      </c>
      <c r="K61" s="1">
        <v>262.72517863944398</v>
      </c>
      <c r="L61" s="1">
        <v>157.26911681713599</v>
      </c>
      <c r="M61" s="1">
        <v>1.21</v>
      </c>
      <c r="N61" s="1">
        <v>328.792179876072</v>
      </c>
      <c r="O61" s="1">
        <v>223.15061799434901</v>
      </c>
      <c r="P61">
        <f t="shared" si="20"/>
        <v>13.210050369999999</v>
      </c>
      <c r="Q61">
        <f t="shared" si="21"/>
        <v>2.4223980305685955</v>
      </c>
      <c r="R61">
        <f t="shared" si="22"/>
        <v>145.23727776977105</v>
      </c>
      <c r="S61">
        <f t="shared" si="23"/>
        <v>105.4210818729356</v>
      </c>
    </row>
    <row r="62" spans="1:19">
      <c r="A62" s="2">
        <v>1E-3</v>
      </c>
      <c r="B62" s="1">
        <v>12.075555</v>
      </c>
      <c r="C62" s="1">
        <v>2.6499817192667301</v>
      </c>
      <c r="D62" s="1">
        <v>65.626114698205299</v>
      </c>
      <c r="F62" s="1">
        <v>147.42699999999999</v>
      </c>
      <c r="G62" s="1">
        <v>109.607</v>
      </c>
      <c r="H62" s="1">
        <v>151.404014033539</v>
      </c>
      <c r="I62" s="1">
        <v>110.289191896246</v>
      </c>
      <c r="J62" s="1">
        <v>1.2151000000000001</v>
      </c>
      <c r="K62" s="1">
        <v>263.737030529572</v>
      </c>
      <c r="L62" s="1">
        <v>149.09544917268701</v>
      </c>
      <c r="M62" s="1">
        <v>1.22</v>
      </c>
      <c r="N62" s="1">
        <v>330.83312727625201</v>
      </c>
      <c r="O62" s="1">
        <v>218.447292395033</v>
      </c>
      <c r="P62">
        <f t="shared" si="20"/>
        <v>14.732177099999999</v>
      </c>
      <c r="Q62">
        <f t="shared" si="21"/>
        <v>2.1721161633333854</v>
      </c>
      <c r="R62">
        <f t="shared" si="22"/>
        <v>145.87555837992798</v>
      </c>
      <c r="S62">
        <f t="shared" si="23"/>
        <v>105.86306704444307</v>
      </c>
    </row>
    <row r="63" spans="1:19">
      <c r="A63" s="2">
        <v>5.0000000000000001E-3</v>
      </c>
      <c r="B63" s="1">
        <v>15.666805999999999</v>
      </c>
      <c r="C63" s="1">
        <v>2.0425350259650799</v>
      </c>
      <c r="D63" s="1">
        <v>52.340946532001396</v>
      </c>
      <c r="F63" s="1">
        <v>147.69300000000001</v>
      </c>
      <c r="G63" s="1">
        <v>109.90300000000001</v>
      </c>
      <c r="H63" s="1">
        <v>151.669173964278</v>
      </c>
      <c r="I63" s="1">
        <v>110.634857147725</v>
      </c>
      <c r="J63" s="1">
        <v>1.4056</v>
      </c>
      <c r="K63" s="1">
        <v>248.90252356377101</v>
      </c>
      <c r="L63" s="1">
        <v>147.292475789984</v>
      </c>
      <c r="M63" s="1">
        <v>1.41</v>
      </c>
      <c r="N63" s="1">
        <v>314.55424708583701</v>
      </c>
      <c r="O63" s="1">
        <v>199.47411885269599</v>
      </c>
      <c r="P63">
        <f t="shared" si="20"/>
        <v>22.090196459999998</v>
      </c>
      <c r="Q63">
        <f t="shared" si="21"/>
        <v>1.4486064013936737</v>
      </c>
      <c r="R63">
        <f t="shared" si="22"/>
        <v>147.14067728901682</v>
      </c>
      <c r="S63">
        <f t="shared" si="23"/>
        <v>106.85210370298239</v>
      </c>
    </row>
    <row r="64" spans="1:19">
      <c r="A64" s="2">
        <v>0.01</v>
      </c>
      <c r="B64" s="1">
        <v>19.041730999999999</v>
      </c>
      <c r="C64" s="1">
        <v>1.68051948638493</v>
      </c>
      <c r="D64" s="1">
        <v>46.748553686824202</v>
      </c>
      <c r="F64" s="1">
        <v>147.61199999999999</v>
      </c>
      <c r="G64" s="1">
        <v>110.13500000000001</v>
      </c>
      <c r="H64" s="1">
        <v>151.662986889254</v>
      </c>
      <c r="I64" s="1">
        <v>110.84127788756599</v>
      </c>
      <c r="J64" s="1">
        <v>1.5886</v>
      </c>
      <c r="K64" s="1">
        <v>236.63257717864701</v>
      </c>
      <c r="L64" s="1">
        <v>139.959391006711</v>
      </c>
      <c r="M64" s="1">
        <v>1.59</v>
      </c>
      <c r="N64" s="1">
        <v>317.74348208891598</v>
      </c>
      <c r="O64" s="1">
        <v>199.42903533618599</v>
      </c>
      <c r="P64">
        <f t="shared" si="20"/>
        <v>30.276352289999998</v>
      </c>
      <c r="Q64">
        <f t="shared" si="21"/>
        <v>1.0569304945817168</v>
      </c>
      <c r="R64">
        <f t="shared" si="22"/>
        <v>147.95426708331993</v>
      </c>
      <c r="S64">
        <f t="shared" si="23"/>
        <v>107.69777797252705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6A02-80C0-4295-8FAC-3705C73ACF75}">
  <dimension ref="A1:U113"/>
  <sheetViews>
    <sheetView workbookViewId="0">
      <selection activeCell="J48" sqref="J48"/>
    </sheetView>
  </sheetViews>
  <sheetFormatPr defaultRowHeight="15"/>
  <cols>
    <col min="1" max="7" width="8.7109375" style="1"/>
    <col min="8" max="8" width="10.5703125" style="1" customWidth="1"/>
    <col min="9" max="12" width="8.7109375" style="1"/>
    <col min="13" max="13" width="12.7109375" style="1" customWidth="1"/>
    <col min="14" max="15" width="8.7109375" style="1"/>
    <col min="16" max="16" width="14.140625" customWidth="1"/>
    <col min="17" max="17" width="15.140625" customWidth="1"/>
    <col min="18" max="18" width="13.42578125" customWidth="1"/>
    <col min="19" max="20" width="16.5703125" customWidth="1"/>
  </cols>
  <sheetData>
    <row r="1" spans="1:19">
      <c r="A1" s="1" t="s">
        <v>17</v>
      </c>
    </row>
    <row r="2" spans="1:19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24</v>
      </c>
      <c r="Q2" s="1" t="s">
        <v>25</v>
      </c>
      <c r="R2" s="1" t="s">
        <v>26</v>
      </c>
      <c r="S2" s="1" t="s">
        <v>27</v>
      </c>
    </row>
    <row r="3" spans="1:19">
      <c r="A3" s="2">
        <v>1.0000000000000001E-5</v>
      </c>
      <c r="B3" s="1">
        <v>10.873720016113699</v>
      </c>
      <c r="C3" s="1">
        <v>2.9428751110548501</v>
      </c>
      <c r="D3" s="1">
        <v>107.042773676029</v>
      </c>
      <c r="F3" s="1">
        <v>47.12</v>
      </c>
      <c r="G3" s="1">
        <v>47.12</v>
      </c>
      <c r="H3" s="1">
        <v>106.683124711563</v>
      </c>
      <c r="I3" s="1">
        <v>48.228823713095501</v>
      </c>
      <c r="J3" s="1">
        <v>1.3400073535706201</v>
      </c>
      <c r="K3" s="1">
        <v>196.264486282528</v>
      </c>
      <c r="L3" s="1">
        <v>91.537174002949399</v>
      </c>
      <c r="M3" s="1">
        <v>1.3395927327155099</v>
      </c>
      <c r="N3" s="1">
        <v>307.46499591691497</v>
      </c>
      <c r="O3" s="1">
        <v>300.03508121856601</v>
      </c>
      <c r="P3">
        <f t="shared" ref="P3:P9" si="0">B3*M3</f>
        <v>14.566356311169089</v>
      </c>
      <c r="Q3">
        <f t="shared" ref="Q3:Q9" si="1">C3/M3</f>
        <v>2.1968431443258885</v>
      </c>
      <c r="R3">
        <f t="shared" ref="R3:R9" si="2">1/(1/H3+1/(N3*B3))</f>
        <v>103.38417299228063</v>
      </c>
      <c r="S3">
        <f t="shared" ref="S3:S9" si="3">1/(1/I3+1/(O3*B3))</f>
        <v>47.526252968288638</v>
      </c>
    </row>
    <row r="4" spans="1:19">
      <c r="A4" s="2">
        <v>5.0000000000000002E-5</v>
      </c>
      <c r="B4" s="1">
        <v>15.430945027196</v>
      </c>
      <c r="C4" s="1">
        <v>2.0737550385671102</v>
      </c>
      <c r="D4" s="1">
        <v>93.223318293513302</v>
      </c>
      <c r="F4" s="1">
        <v>49.4464864864864</v>
      </c>
      <c r="G4" s="1">
        <v>49.4464864864864</v>
      </c>
      <c r="H4" s="1">
        <v>108.252810708358</v>
      </c>
      <c r="I4" s="1">
        <v>50.327016578657599</v>
      </c>
      <c r="J4" s="1">
        <v>1.4202151326822801</v>
      </c>
      <c r="K4" s="1">
        <v>167.33026726351</v>
      </c>
      <c r="L4" s="1">
        <v>67.226339331328901</v>
      </c>
      <c r="M4" s="1">
        <v>1.42055576241425</v>
      </c>
      <c r="N4" s="1">
        <v>285.04254422337101</v>
      </c>
      <c r="O4" s="1">
        <v>240.434944058594</v>
      </c>
      <c r="P4">
        <f t="shared" si="0"/>
        <v>21.920517877880794</v>
      </c>
      <c r="Q4">
        <f t="shared" si="1"/>
        <v>1.4598195251714308</v>
      </c>
      <c r="R4">
        <f t="shared" si="2"/>
        <v>105.6525496410358</v>
      </c>
      <c r="S4">
        <f t="shared" si="3"/>
        <v>49.65348064249698</v>
      </c>
    </row>
    <row r="5" spans="1:19">
      <c r="A5" s="2">
        <v>1E-4</v>
      </c>
      <c r="B5" s="1">
        <v>17.688812648494999</v>
      </c>
      <c r="C5" s="1">
        <v>1.8090530232803701</v>
      </c>
      <c r="D5" s="1">
        <v>87.522483092206201</v>
      </c>
      <c r="F5" s="1">
        <v>50.983243243243201</v>
      </c>
      <c r="G5" s="1">
        <v>50.983243243243201</v>
      </c>
      <c r="H5" s="1">
        <v>108.75319705512101</v>
      </c>
      <c r="I5" s="1">
        <v>51.971099114777999</v>
      </c>
      <c r="J5" s="1">
        <v>1.5032254126009701</v>
      </c>
      <c r="K5" s="1">
        <v>162.30350655555699</v>
      </c>
      <c r="L5" s="1">
        <v>59.755331427924297</v>
      </c>
      <c r="M5" s="1">
        <v>1.50566007642377</v>
      </c>
      <c r="N5" s="1">
        <v>272.04534567221498</v>
      </c>
      <c r="O5" s="1">
        <v>218.72065535648099</v>
      </c>
      <c r="P5">
        <f t="shared" si="0"/>
        <v>26.63333900417873</v>
      </c>
      <c r="Q5">
        <f t="shared" si="1"/>
        <v>1.201501621519524</v>
      </c>
      <c r="R5">
        <f t="shared" si="2"/>
        <v>106.34972854522066</v>
      </c>
      <c r="S5">
        <f t="shared" si="3"/>
        <v>51.282224350679904</v>
      </c>
    </row>
    <row r="6" spans="1:19">
      <c r="A6" s="2">
        <v>5.0000000000000001E-4</v>
      </c>
      <c r="B6" s="1">
        <v>22.967259957730299</v>
      </c>
      <c r="C6" s="1">
        <v>1.39328766508908</v>
      </c>
      <c r="D6" s="1">
        <v>74.5914437599221</v>
      </c>
      <c r="F6" s="1">
        <v>56.394324324324302</v>
      </c>
      <c r="G6" s="1">
        <v>56.394324324324302</v>
      </c>
      <c r="H6" s="1">
        <v>111.16611934536201</v>
      </c>
      <c r="I6" s="1">
        <v>57.5005004506869</v>
      </c>
      <c r="J6" s="1">
        <v>1.84832477526032</v>
      </c>
      <c r="K6" s="1">
        <v>140.29496955680401</v>
      </c>
      <c r="L6" s="1">
        <v>47.754270505664998</v>
      </c>
      <c r="M6" s="1">
        <v>1.84898738721274</v>
      </c>
      <c r="N6" s="1">
        <v>257.73140095588002</v>
      </c>
      <c r="O6" s="1">
        <v>182.34351295961801</v>
      </c>
      <c r="P6">
        <f t="shared" si="0"/>
        <v>42.466173980679528</v>
      </c>
      <c r="Q6">
        <f t="shared" si="1"/>
        <v>0.75354092446752408</v>
      </c>
      <c r="R6">
        <f t="shared" si="2"/>
        <v>109.1169023300797</v>
      </c>
      <c r="S6">
        <f t="shared" si="3"/>
        <v>56.721708552186271</v>
      </c>
    </row>
    <row r="7" spans="1:19">
      <c r="A7" s="2">
        <v>1E-3</v>
      </c>
      <c r="B7" s="1">
        <v>24.7099405928561</v>
      </c>
      <c r="C7" s="1">
        <v>1.29502537166161</v>
      </c>
      <c r="D7" s="1">
        <v>69.053872386058302</v>
      </c>
      <c r="F7" s="1">
        <v>58.3716216216216</v>
      </c>
      <c r="G7" s="1">
        <v>58.3716216216216</v>
      </c>
      <c r="H7" s="1">
        <v>112.579134508076</v>
      </c>
      <c r="I7" s="1">
        <v>59.544560305426302</v>
      </c>
      <c r="J7" s="1">
        <v>2.0246469922352799</v>
      </c>
      <c r="K7" s="1">
        <v>132.417132843698</v>
      </c>
      <c r="L7" s="1">
        <v>43.765705244015798</v>
      </c>
      <c r="M7" s="1">
        <v>2.0297104728481701</v>
      </c>
      <c r="N7" s="1">
        <v>252.21405377603301</v>
      </c>
      <c r="O7" s="1">
        <v>173.86561816271799</v>
      </c>
      <c r="P7">
        <f t="shared" si="0"/>
        <v>50.154025204776147</v>
      </c>
      <c r="Q7">
        <f t="shared" si="1"/>
        <v>0.63803453201105043</v>
      </c>
      <c r="R7">
        <f t="shared" si="2"/>
        <v>110.58157514895974</v>
      </c>
      <c r="S7">
        <f t="shared" si="3"/>
        <v>58.730566920634672</v>
      </c>
    </row>
    <row r="8" spans="1:19">
      <c r="A8" s="2">
        <v>5.0000000000000001E-3</v>
      </c>
      <c r="B8" s="1">
        <v>27.6868311055654</v>
      </c>
      <c r="C8" s="1">
        <v>1.1557841299348799</v>
      </c>
      <c r="D8" s="1">
        <v>56.307149116851498</v>
      </c>
      <c r="F8" s="1">
        <v>65.484594594594597</v>
      </c>
      <c r="G8" s="1">
        <v>65.484594594594597</v>
      </c>
      <c r="H8" s="1">
        <v>115.307980786576</v>
      </c>
      <c r="I8" s="1">
        <v>66.999668460013694</v>
      </c>
      <c r="J8" s="1">
        <v>2.55791352597539</v>
      </c>
      <c r="K8" s="1">
        <v>124.27907881650199</v>
      </c>
      <c r="L8" s="1">
        <v>39.954584010552701</v>
      </c>
      <c r="M8" s="1">
        <v>2.5631625138107301</v>
      </c>
      <c r="N8" s="1">
        <v>249.95843192324801</v>
      </c>
      <c r="O8" s="1">
        <v>162.281541990958</v>
      </c>
      <c r="P8">
        <f t="shared" si="0"/>
        <v>70.965847615994122</v>
      </c>
      <c r="Q8">
        <f t="shared" si="1"/>
        <v>0.45092112720411986</v>
      </c>
      <c r="R8">
        <f t="shared" si="2"/>
        <v>113.41824431765538</v>
      </c>
      <c r="S8">
        <f t="shared" si="3"/>
        <v>66.015261614245659</v>
      </c>
    </row>
    <row r="9" spans="1:19">
      <c r="A9" s="2">
        <v>0.01</v>
      </c>
      <c r="B9" s="1">
        <v>28.721819362025801</v>
      </c>
      <c r="C9" s="1">
        <v>1.11413554958528</v>
      </c>
      <c r="D9" s="1">
        <v>50.923478607050697</v>
      </c>
      <c r="F9" s="1">
        <v>65.682702702702699</v>
      </c>
      <c r="G9" s="1">
        <v>65.682702702702699</v>
      </c>
      <c r="H9" s="1">
        <v>115.35562632864099</v>
      </c>
      <c r="I9" s="1">
        <v>67.656106478687505</v>
      </c>
      <c r="J9" s="1">
        <v>2.9225732952390402</v>
      </c>
      <c r="K9" s="1">
        <v>121.531315072037</v>
      </c>
      <c r="L9" s="1">
        <v>38.315767849158902</v>
      </c>
      <c r="M9" s="1">
        <v>2.9279626805767198</v>
      </c>
      <c r="N9" s="1">
        <v>249.59182098952601</v>
      </c>
      <c r="O9" s="1">
        <v>154.71339440339301</v>
      </c>
      <c r="P9">
        <f t="shared" si="0"/>
        <v>84.096415210277399</v>
      </c>
      <c r="Q9">
        <f t="shared" si="1"/>
        <v>0.38051562507136505</v>
      </c>
      <c r="R9">
        <f t="shared" si="2"/>
        <v>113.52877818020833</v>
      </c>
      <c r="S9">
        <f t="shared" si="3"/>
        <v>66.641467155521667</v>
      </c>
    </row>
    <row r="10" spans="1:19">
      <c r="A10" s="2"/>
    </row>
    <row r="11" spans="1:19">
      <c r="A11" s="2" t="s">
        <v>18</v>
      </c>
    </row>
    <row r="12" spans="1:19" ht="13.5" customHeight="1">
      <c r="A12" s="1" t="s">
        <v>0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24</v>
      </c>
      <c r="Q12" s="1" t="s">
        <v>25</v>
      </c>
      <c r="R12" s="1" t="s">
        <v>26</v>
      </c>
      <c r="S12" s="1" t="s">
        <v>27</v>
      </c>
    </row>
    <row r="13" spans="1:19">
      <c r="A13" s="2">
        <v>1.0000000000000001E-5</v>
      </c>
      <c r="B13" s="1">
        <v>13.299262298997199</v>
      </c>
      <c r="C13" s="1">
        <v>2.4061484976059702</v>
      </c>
      <c r="D13" s="1">
        <v>107.998447542346</v>
      </c>
      <c r="F13" s="1">
        <v>42.284864864864801</v>
      </c>
      <c r="G13" s="1">
        <v>42.284864864864801</v>
      </c>
      <c r="H13" s="1">
        <v>61.936741179603999</v>
      </c>
      <c r="I13" s="1">
        <v>41.377609748534901</v>
      </c>
      <c r="J13" s="1">
        <v>1.55010547447587</v>
      </c>
      <c r="K13" s="1">
        <v>163.62693640775601</v>
      </c>
      <c r="L13" s="1">
        <v>63.854807534488998</v>
      </c>
      <c r="M13" s="1">
        <v>1.55103664079064</v>
      </c>
      <c r="N13" s="1">
        <v>282.21929811000501</v>
      </c>
      <c r="O13" s="1">
        <v>230.34519053798601</v>
      </c>
      <c r="P13">
        <f t="shared" ref="P13:P19" si="4">B13*M13</f>
        <v>20.627643121230218</v>
      </c>
      <c r="Q13">
        <f t="shared" ref="Q13:Q19" si="5">C13/M13</f>
        <v>1.55131634825818</v>
      </c>
      <c r="R13">
        <f t="shared" ref="R13:R19" si="6">1/(1/H13+1/(N13*B13))</f>
        <v>60.931259305123994</v>
      </c>
      <c r="S13">
        <f t="shared" ref="S13:S19" si="7">1/(1/I13+1/(O13*B13))</f>
        <v>40.826170913365978</v>
      </c>
    </row>
    <row r="14" spans="1:19">
      <c r="A14" s="2">
        <v>5.0000000000000002E-5</v>
      </c>
      <c r="B14" s="1">
        <v>18.809511113353398</v>
      </c>
      <c r="C14" s="1">
        <v>1.7012669711166499</v>
      </c>
      <c r="D14" s="1">
        <v>95.277277635550604</v>
      </c>
      <c r="F14" s="1">
        <v>44.675945945945898</v>
      </c>
      <c r="G14" s="1">
        <v>44.675945945945898</v>
      </c>
      <c r="H14" s="1">
        <v>62.662658425073602</v>
      </c>
      <c r="I14" s="1">
        <v>43.638377930555002</v>
      </c>
      <c r="J14" s="1">
        <v>1.89558118333028</v>
      </c>
      <c r="K14" s="1">
        <v>140.43463362592999</v>
      </c>
      <c r="L14" s="1">
        <v>47.8655675598106</v>
      </c>
      <c r="M14" s="1">
        <v>1.8956040477002201</v>
      </c>
      <c r="N14" s="1">
        <v>266.92864760860198</v>
      </c>
      <c r="O14" s="1">
        <v>199.68802196999101</v>
      </c>
      <c r="P14">
        <f t="shared" si="4"/>
        <v>35.655385401734975</v>
      </c>
      <c r="Q14">
        <f t="shared" si="5"/>
        <v>0.89748013208805744</v>
      </c>
      <c r="R14">
        <f t="shared" si="6"/>
        <v>61.890230050731439</v>
      </c>
      <c r="S14">
        <f t="shared" si="7"/>
        <v>43.137201038261331</v>
      </c>
    </row>
    <row r="15" spans="1:19">
      <c r="A15" s="2">
        <v>1E-4</v>
      </c>
      <c r="B15" s="1">
        <v>21.451723516387101</v>
      </c>
      <c r="C15" s="1">
        <v>1.4917216313903501</v>
      </c>
      <c r="D15" s="1">
        <v>90.252151456425693</v>
      </c>
      <c r="F15" s="1">
        <v>45.965675675675598</v>
      </c>
      <c r="G15" s="1">
        <v>45.965675675675598</v>
      </c>
      <c r="H15" s="1">
        <v>63.074149079852504</v>
      </c>
      <c r="I15" s="1">
        <v>44.876047331639498</v>
      </c>
      <c r="J15" s="1">
        <v>2.1147108204896599</v>
      </c>
      <c r="K15" s="1">
        <v>133.994499739037</v>
      </c>
      <c r="L15" s="1">
        <v>42.939344871863803</v>
      </c>
      <c r="M15" s="1">
        <v>2.1177643686113199</v>
      </c>
      <c r="N15" s="1">
        <v>259.57555375635201</v>
      </c>
      <c r="O15" s="1">
        <v>183.52784363727201</v>
      </c>
      <c r="P15">
        <f t="shared" si="4"/>
        <v>45.429695708306134</v>
      </c>
      <c r="Q15">
        <f t="shared" si="5"/>
        <v>0.70438508339268902</v>
      </c>
      <c r="R15">
        <f t="shared" si="6"/>
        <v>62.367693108077844</v>
      </c>
      <c r="S15">
        <f t="shared" si="7"/>
        <v>44.370289395828472</v>
      </c>
    </row>
    <row r="16" spans="1:19">
      <c r="A16" s="2">
        <v>5.0000000000000001E-4</v>
      </c>
      <c r="B16" s="1">
        <v>26.293971248554101</v>
      </c>
      <c r="C16" s="1">
        <v>1.2170090131120599</v>
      </c>
      <c r="D16" s="1">
        <v>78.622689771481902</v>
      </c>
      <c r="F16" s="1">
        <v>48.519459459459398</v>
      </c>
      <c r="G16" s="1">
        <v>48.519459459459398</v>
      </c>
      <c r="H16" s="1">
        <v>63.931021599239202</v>
      </c>
      <c r="I16" s="1">
        <v>47.319776723307697</v>
      </c>
      <c r="J16" s="1">
        <v>2.86057396442046</v>
      </c>
      <c r="K16" s="1">
        <v>127.15379625974499</v>
      </c>
      <c r="L16" s="1">
        <v>36.7739114454589</v>
      </c>
      <c r="M16" s="1">
        <v>2.8634741853877701</v>
      </c>
      <c r="N16" s="1">
        <v>255.44320903750599</v>
      </c>
      <c r="O16" s="1">
        <v>153.77883529623099</v>
      </c>
      <c r="P16">
        <f t="shared" si="4"/>
        <v>75.2921079015629</v>
      </c>
      <c r="Q16">
        <f t="shared" si="5"/>
        <v>0.42501134437405558</v>
      </c>
      <c r="R16">
        <f t="shared" si="6"/>
        <v>63.328242019337289</v>
      </c>
      <c r="S16">
        <f t="shared" si="7"/>
        <v>46.772408389909401</v>
      </c>
    </row>
    <row r="17" spans="1:19">
      <c r="A17" s="2">
        <v>1E-3</v>
      </c>
      <c r="B17" s="1">
        <v>27.3869651007426</v>
      </c>
      <c r="C17" s="1">
        <v>1.1684390688157</v>
      </c>
      <c r="D17" s="1">
        <v>74.309788457960295</v>
      </c>
      <c r="F17" s="1">
        <v>49.415405405405401</v>
      </c>
      <c r="G17" s="1">
        <v>49.415405405405401</v>
      </c>
      <c r="H17" s="1">
        <v>64.377141451760295</v>
      </c>
      <c r="I17" s="1">
        <v>48.1563003959482</v>
      </c>
      <c r="J17" s="1">
        <v>3.5063828624611202</v>
      </c>
      <c r="K17" s="1">
        <v>124.400766121085</v>
      </c>
      <c r="L17" s="1">
        <v>35.863901347869799</v>
      </c>
      <c r="M17" s="1">
        <v>3.5114197512657301</v>
      </c>
      <c r="N17" s="1">
        <v>255.20042372814399</v>
      </c>
      <c r="O17" s="1">
        <v>149.662673325089</v>
      </c>
      <c r="P17">
        <f t="shared" si="4"/>
        <v>96.167130181972809</v>
      </c>
      <c r="Q17">
        <f t="shared" si="5"/>
        <v>0.33275402873567683</v>
      </c>
      <c r="R17">
        <f t="shared" si="6"/>
        <v>63.789576197224605</v>
      </c>
      <c r="S17">
        <f t="shared" si="7"/>
        <v>47.597088888856774</v>
      </c>
    </row>
    <row r="18" spans="1:19">
      <c r="A18" s="2">
        <v>5.0000000000000001E-3</v>
      </c>
      <c r="B18" s="1">
        <v>28.596620284187999</v>
      </c>
      <c r="C18" s="1">
        <v>1.1190133547947201</v>
      </c>
      <c r="D18" s="1">
        <v>63.994462500061204</v>
      </c>
      <c r="F18" s="1">
        <v>50.685135135135098</v>
      </c>
      <c r="G18" s="1">
        <v>50.685135135135098</v>
      </c>
      <c r="H18" s="1">
        <v>64.834400209226104</v>
      </c>
      <c r="I18" s="1">
        <v>49.343378539316397</v>
      </c>
      <c r="J18" s="1">
        <v>6.4333412828054604</v>
      </c>
      <c r="K18" s="1">
        <v>125.89730264868101</v>
      </c>
      <c r="L18" s="1">
        <v>34.716813794611397</v>
      </c>
      <c r="M18" s="1">
        <v>6.45437828332678</v>
      </c>
      <c r="N18" s="1">
        <v>259.62973991363202</v>
      </c>
      <c r="O18" s="1">
        <v>152.36617828922999</v>
      </c>
      <c r="P18">
        <f t="shared" si="4"/>
        <v>184.57340493880511</v>
      </c>
      <c r="Q18">
        <f t="shared" si="5"/>
        <v>0.17337275654967454</v>
      </c>
      <c r="R18">
        <f t="shared" si="6"/>
        <v>64.273137932033066</v>
      </c>
      <c r="S18">
        <f t="shared" si="7"/>
        <v>48.790838340735917</v>
      </c>
    </row>
    <row r="19" spans="1:19">
      <c r="A19" s="2">
        <v>0.01</v>
      </c>
      <c r="B19" s="1">
        <v>28.7791503543306</v>
      </c>
      <c r="C19" s="1">
        <v>1.11191607834192</v>
      </c>
      <c r="D19" s="1">
        <v>60.145688416479501</v>
      </c>
      <c r="F19" s="1">
        <v>50.814594594594503</v>
      </c>
      <c r="G19" s="1">
        <v>50.814594594594503</v>
      </c>
      <c r="H19" s="1">
        <v>64.942884006648995</v>
      </c>
      <c r="I19" s="1">
        <v>49.456819418212</v>
      </c>
      <c r="J19" s="1">
        <v>8.0839518820383596</v>
      </c>
      <c r="K19" s="1">
        <v>124.884090278345</v>
      </c>
      <c r="L19" s="1">
        <v>34.428927986245697</v>
      </c>
      <c r="M19" s="1">
        <v>8.1168990662855496</v>
      </c>
      <c r="N19" s="1">
        <v>261.84437340405998</v>
      </c>
      <c r="O19" s="1">
        <v>156.19969256627101</v>
      </c>
      <c r="P19">
        <f t="shared" si="4"/>
        <v>233.59745863955749</v>
      </c>
      <c r="Q19">
        <f t="shared" si="5"/>
        <v>0.13698779167531946</v>
      </c>
      <c r="R19">
        <f t="shared" si="6"/>
        <v>64.387983424554307</v>
      </c>
      <c r="S19">
        <f t="shared" si="7"/>
        <v>48.918621209200339</v>
      </c>
    </row>
    <row r="20" spans="1:19">
      <c r="A20" s="2"/>
    </row>
    <row r="21" spans="1:19">
      <c r="A21" s="2"/>
    </row>
    <row r="22" spans="1:19">
      <c r="A22" s="2" t="s">
        <v>19</v>
      </c>
      <c r="E22" s="2"/>
    </row>
    <row r="23" spans="1:19">
      <c r="A23" s="1" t="s">
        <v>0</v>
      </c>
      <c r="B23" s="1" t="s">
        <v>2</v>
      </c>
      <c r="C23" s="1" t="s">
        <v>3</v>
      </c>
      <c r="D23" s="1" t="s">
        <v>4</v>
      </c>
      <c r="E23" s="1" t="s">
        <v>5</v>
      </c>
      <c r="F23" s="1" t="s">
        <v>6</v>
      </c>
      <c r="G23" s="1" t="s">
        <v>7</v>
      </c>
      <c r="H23" s="1" t="s">
        <v>8</v>
      </c>
      <c r="I23" s="1" t="s">
        <v>9</v>
      </c>
      <c r="J23" s="1" t="s">
        <v>10</v>
      </c>
      <c r="K23" s="1" t="s">
        <v>11</v>
      </c>
      <c r="L23" s="1" t="s">
        <v>12</v>
      </c>
      <c r="M23" s="1" t="s">
        <v>13</v>
      </c>
      <c r="N23" s="1" t="s">
        <v>14</v>
      </c>
      <c r="O23" s="1" t="s">
        <v>15</v>
      </c>
      <c r="P23" s="1" t="s">
        <v>24</v>
      </c>
      <c r="Q23" s="1" t="s">
        <v>25</v>
      </c>
      <c r="R23" s="1" t="s">
        <v>26</v>
      </c>
      <c r="S23" s="1" t="s">
        <v>27</v>
      </c>
    </row>
    <row r="24" spans="1:19">
      <c r="A24" s="2">
        <v>1.0000000000000001E-5</v>
      </c>
      <c r="B24" s="1">
        <v>6.6724509055603702</v>
      </c>
      <c r="C24" s="1">
        <v>4.7958389582654402</v>
      </c>
      <c r="D24" s="1">
        <v>107.042773812261</v>
      </c>
      <c r="F24" s="1">
        <v>46.208429081081</v>
      </c>
      <c r="G24" s="1">
        <v>57.937705081080999</v>
      </c>
      <c r="H24" s="1">
        <v>61.631183847887897</v>
      </c>
      <c r="I24" s="1">
        <v>89.739155031478006</v>
      </c>
      <c r="J24" s="1">
        <v>1.2301745282404699</v>
      </c>
      <c r="K24" s="1">
        <v>206.76118255004801</v>
      </c>
      <c r="L24" s="1">
        <v>161.15785651365499</v>
      </c>
      <c r="M24" s="1">
        <v>1.23068225554488</v>
      </c>
      <c r="N24" s="1">
        <v>305.295872845502</v>
      </c>
      <c r="O24" s="1">
        <v>309.77568918787</v>
      </c>
      <c r="P24">
        <f>B24*M24</f>
        <v>8.2116669304675138</v>
      </c>
      <c r="Q24">
        <f>C24/M24</f>
        <v>3.8968945368779209</v>
      </c>
      <c r="R24">
        <f>1/(1/H24+1/(N24*B24))</f>
        <v>59.821302701929248</v>
      </c>
      <c r="S24">
        <f>1/(1/I24+1/(O24*B24))</f>
        <v>86.00515975711258</v>
      </c>
    </row>
    <row r="25" spans="1:19">
      <c r="A25" s="2">
        <v>5.0000000000000002E-5</v>
      </c>
      <c r="B25" s="1">
        <v>9.0830418833119797</v>
      </c>
      <c r="C25" s="1">
        <v>3.5230488212096298</v>
      </c>
      <c r="D25" s="1">
        <v>93.223318419688596</v>
      </c>
      <c r="F25" s="1">
        <v>47.285972837837797</v>
      </c>
      <c r="G25" s="1">
        <v>64.222020972972899</v>
      </c>
      <c r="H25" s="1">
        <v>66.186099131211407</v>
      </c>
      <c r="I25" s="1">
        <v>103.18941889342</v>
      </c>
      <c r="J25" s="1">
        <v>1.2841154615408099</v>
      </c>
      <c r="K25" s="1">
        <v>181.75879728823199</v>
      </c>
      <c r="L25" s="1">
        <v>114.277778288281</v>
      </c>
      <c r="M25" s="1">
        <v>1.28416890695601</v>
      </c>
      <c r="N25" s="1">
        <v>283.46762672255801</v>
      </c>
      <c r="O25" s="1">
        <v>263.93988481596301</v>
      </c>
      <c r="P25">
        <f t="shared" ref="P25:P30" si="8">B25*M25</f>
        <v>11.664159967128404</v>
      </c>
      <c r="Q25">
        <f t="shared" ref="Q25:Q30" si="9">C25/M25</f>
        <v>2.7434465996849697</v>
      </c>
      <c r="R25">
        <f t="shared" ref="R25:R30" si="10">1/(1/H25+1/(N25*B25))</f>
        <v>64.527368162209982</v>
      </c>
      <c r="S25">
        <f t="shared" ref="S25:S30" si="11">1/(1/I25+1/(O25*B25))</f>
        <v>98.931161256302701</v>
      </c>
    </row>
    <row r="26" spans="1:19">
      <c r="A26" s="2">
        <v>1E-4</v>
      </c>
      <c r="B26" s="1">
        <v>10.654645999366901</v>
      </c>
      <c r="C26" s="1">
        <v>3.0033846269412798</v>
      </c>
      <c r="D26" s="1">
        <v>87.522483212057693</v>
      </c>
      <c r="F26" s="1">
        <v>50.198410135135099</v>
      </c>
      <c r="G26" s="1">
        <v>70.3462301891891</v>
      </c>
      <c r="H26" s="1">
        <v>68.284137174427798</v>
      </c>
      <c r="I26" s="1">
        <v>111.48958263798301</v>
      </c>
      <c r="J26" s="1">
        <v>1.31590093047809</v>
      </c>
      <c r="K26" s="1">
        <v>169.351140290242</v>
      </c>
      <c r="L26" s="1">
        <v>101.022418908861</v>
      </c>
      <c r="M26" s="1">
        <v>1.3176397135750899</v>
      </c>
      <c r="N26" s="1">
        <v>271.46054707546102</v>
      </c>
      <c r="O26" s="1">
        <v>242.78748142702801</v>
      </c>
      <c r="P26">
        <f t="shared" si="8"/>
        <v>14.038984702849781</v>
      </c>
      <c r="Q26">
        <f t="shared" si="9"/>
        <v>2.2793671107501288</v>
      </c>
      <c r="R26">
        <f t="shared" si="10"/>
        <v>66.709212117546599</v>
      </c>
      <c r="S26">
        <f t="shared" si="11"/>
        <v>106.88301277644359</v>
      </c>
    </row>
    <row r="27" spans="1:19">
      <c r="A27" s="2">
        <v>5.0000000000000001E-4</v>
      </c>
      <c r="B27" s="1">
        <v>16.2067842622711</v>
      </c>
      <c r="C27" s="1">
        <v>1.97448176529967</v>
      </c>
      <c r="D27" s="1">
        <v>74.591443368017394</v>
      </c>
      <c r="F27" s="1">
        <v>53.125400810810802</v>
      </c>
      <c r="G27" s="1">
        <v>81.402635216216197</v>
      </c>
      <c r="H27" s="1">
        <v>73.385578384063905</v>
      </c>
      <c r="I27" s="1">
        <v>137.310069727616</v>
      </c>
      <c r="J27" s="1">
        <v>1.4615998180716501</v>
      </c>
      <c r="K27" s="1">
        <v>137.58063824912401</v>
      </c>
      <c r="L27" s="1">
        <v>69.878339452300295</v>
      </c>
      <c r="M27" s="1">
        <v>1.4619859634777299</v>
      </c>
      <c r="N27" s="1">
        <v>234.622996432989</v>
      </c>
      <c r="O27" s="1">
        <v>183.05016751996601</v>
      </c>
      <c r="P27">
        <f t="shared" si="8"/>
        <v>23.694091104552125</v>
      </c>
      <c r="Q27">
        <f t="shared" si="9"/>
        <v>1.3505476896664794</v>
      </c>
      <c r="R27">
        <f t="shared" si="10"/>
        <v>71.996098524579196</v>
      </c>
      <c r="S27">
        <f t="shared" si="11"/>
        <v>131.23588480232124</v>
      </c>
    </row>
    <row r="28" spans="1:19">
      <c r="A28" s="2">
        <v>1E-3</v>
      </c>
      <c r="B28" s="1">
        <v>19.820682692513699</v>
      </c>
      <c r="C28" s="1">
        <v>1.61447516699746</v>
      </c>
      <c r="D28" s="1">
        <v>69.053871996297403</v>
      </c>
      <c r="F28" s="1">
        <v>53.443840675675602</v>
      </c>
      <c r="G28" s="1">
        <v>86.812693027026995</v>
      </c>
      <c r="H28" s="1">
        <v>75.713784596378005</v>
      </c>
      <c r="I28" s="1">
        <v>153.18837854932701</v>
      </c>
      <c r="J28" s="1">
        <v>1.5681977377490599</v>
      </c>
      <c r="K28" s="1">
        <v>118.66800851719999</v>
      </c>
      <c r="L28" s="1">
        <v>59.295962151257399</v>
      </c>
      <c r="M28" s="1">
        <v>1.5702664889973901</v>
      </c>
      <c r="N28" s="1">
        <v>223.02900130674399</v>
      </c>
      <c r="O28" s="1">
        <v>162.433628350112</v>
      </c>
      <c r="P28">
        <f t="shared" si="8"/>
        <v>31.123753821104824</v>
      </c>
      <c r="Q28">
        <f t="shared" si="9"/>
        <v>1.028153614886284</v>
      </c>
      <c r="R28">
        <f t="shared" si="10"/>
        <v>74.438830502284929</v>
      </c>
      <c r="S28">
        <f t="shared" si="11"/>
        <v>146.23061644274443</v>
      </c>
    </row>
    <row r="29" spans="1:19">
      <c r="A29" s="2">
        <v>5.0000000000000001E-3</v>
      </c>
      <c r="B29" s="1">
        <v>32.891968036591798</v>
      </c>
      <c r="C29" s="1">
        <v>0.97288188911044904</v>
      </c>
      <c r="D29" s="1">
        <v>56.307149224278099</v>
      </c>
      <c r="F29" s="1">
        <v>56.9310552702702</v>
      </c>
      <c r="G29" s="1">
        <v>103.548611702702</v>
      </c>
      <c r="H29" s="1">
        <v>81.023197630743894</v>
      </c>
      <c r="I29" s="1">
        <v>203.67673342834499</v>
      </c>
      <c r="J29" s="1">
        <v>2.02532864009794</v>
      </c>
      <c r="K29" s="1">
        <v>93.199935429669296</v>
      </c>
      <c r="L29" s="1">
        <v>39.014654557563702</v>
      </c>
      <c r="M29" s="1">
        <v>2.0277170828025901</v>
      </c>
      <c r="N29" s="1">
        <v>193.322479385809</v>
      </c>
      <c r="O29" s="1">
        <v>128.922559770341</v>
      </c>
      <c r="P29">
        <f t="shared" si="8"/>
        <v>66.695605474793965</v>
      </c>
      <c r="Q29">
        <f t="shared" si="9"/>
        <v>0.47979173098733746</v>
      </c>
      <c r="R29">
        <f t="shared" si="10"/>
        <v>80.003790361587747</v>
      </c>
      <c r="S29">
        <f t="shared" si="11"/>
        <v>194.34225863107827</v>
      </c>
    </row>
    <row r="30" spans="1:19">
      <c r="A30" s="2">
        <v>0.01</v>
      </c>
      <c r="B30" s="1">
        <v>41.564579857474101</v>
      </c>
      <c r="C30" s="1">
        <v>0.76988628562417005</v>
      </c>
      <c r="D30" s="1">
        <v>50.923478699169699</v>
      </c>
      <c r="F30" s="1">
        <v>54.467254918918897</v>
      </c>
      <c r="G30" s="1">
        <v>105.615050243243</v>
      </c>
      <c r="H30" s="1">
        <v>83.522130266788395</v>
      </c>
      <c r="I30" s="1">
        <v>237.27780174485699</v>
      </c>
      <c r="J30" s="1">
        <v>2.4139191169844501</v>
      </c>
      <c r="K30" s="1">
        <v>80.856360141897596</v>
      </c>
      <c r="L30" s="1">
        <v>33.059659914602797</v>
      </c>
      <c r="M30" s="1">
        <v>2.4168589245428902</v>
      </c>
      <c r="N30" s="1">
        <v>178.32568325412501</v>
      </c>
      <c r="O30" s="1">
        <v>118.950425127228</v>
      </c>
      <c r="P30">
        <f t="shared" si="8"/>
        <v>100.45572577341193</v>
      </c>
      <c r="Q30">
        <f t="shared" si="9"/>
        <v>0.31854829332654638</v>
      </c>
      <c r="R30">
        <f t="shared" si="10"/>
        <v>82.591452423909843</v>
      </c>
      <c r="S30">
        <f t="shared" si="11"/>
        <v>226.41187153377319</v>
      </c>
    </row>
    <row r="31" spans="1:19">
      <c r="A31" s="2"/>
    </row>
    <row r="32" spans="1:19">
      <c r="A32" s="2"/>
    </row>
    <row r="33" spans="1:19">
      <c r="A33" s="2" t="s">
        <v>20</v>
      </c>
      <c r="E33" s="2"/>
    </row>
    <row r="34" spans="1:19">
      <c r="A34" s="1" t="s">
        <v>0</v>
      </c>
      <c r="B34" s="1" t="s">
        <v>2</v>
      </c>
      <c r="C34" s="1" t="s">
        <v>3</v>
      </c>
      <c r="D34" s="1" t="s">
        <v>4</v>
      </c>
      <c r="E34" s="1" t="s">
        <v>5</v>
      </c>
      <c r="F34" s="1" t="s">
        <v>6</v>
      </c>
      <c r="G34" s="1" t="s">
        <v>7</v>
      </c>
      <c r="H34" s="1" t="s">
        <v>8</v>
      </c>
      <c r="I34" s="1" t="s">
        <v>9</v>
      </c>
      <c r="J34" s="1" t="s">
        <v>10</v>
      </c>
      <c r="K34" s="1" t="s">
        <v>11</v>
      </c>
      <c r="L34" s="1" t="s">
        <v>12</v>
      </c>
      <c r="M34" s="1" t="s">
        <v>13</v>
      </c>
      <c r="N34" s="1" t="s">
        <v>14</v>
      </c>
      <c r="O34" s="1" t="s">
        <v>15</v>
      </c>
      <c r="P34" s="1" t="s">
        <v>24</v>
      </c>
      <c r="Q34" s="1" t="s">
        <v>25</v>
      </c>
      <c r="R34" s="1" t="s">
        <v>26</v>
      </c>
      <c r="S34" s="1" t="s">
        <v>27</v>
      </c>
    </row>
    <row r="35" spans="1:19">
      <c r="A35" s="4">
        <v>1.0000000000000001E-5</v>
      </c>
      <c r="B35" s="1">
        <v>9.8305205983425701</v>
      </c>
      <c r="C35" s="1">
        <v>3.2551683992600702</v>
      </c>
      <c r="D35" s="1" t="e">
        <f>-inf</f>
        <v>#NAME?</v>
      </c>
      <c r="H35" s="1">
        <v>280.41680224062799</v>
      </c>
      <c r="I35" s="1">
        <v>1267.03272273637</v>
      </c>
      <c r="J35" s="1">
        <v>1.21092095723126</v>
      </c>
      <c r="K35" s="1">
        <v>150.14366916527399</v>
      </c>
      <c r="L35" s="1">
        <v>76.088703488024706</v>
      </c>
      <c r="M35" s="1">
        <v>1.2114404911576599</v>
      </c>
      <c r="N35" s="1">
        <v>238.83912671893199</v>
      </c>
      <c r="O35" s="1">
        <v>199.49094860228399</v>
      </c>
      <c r="P35">
        <f>B35*M35</f>
        <v>11.909090701991616</v>
      </c>
      <c r="Q35">
        <f>C35/M35</f>
        <v>2.6870229474907275</v>
      </c>
      <c r="R35">
        <f>1/(1/H35+1/(N35*B35))</f>
        <v>250.49910155439943</v>
      </c>
      <c r="S35">
        <f>1/(1/I35+1/(O35*B35))</f>
        <v>769.72603855198122</v>
      </c>
    </row>
    <row r="36" spans="1:19">
      <c r="A36" s="4">
        <v>5.0000000000000002E-5</v>
      </c>
      <c r="B36" s="1">
        <v>14.589512260937299</v>
      </c>
      <c r="C36" s="1">
        <v>2.1933563938034002</v>
      </c>
      <c r="D36" s="1" t="e">
        <f>-inf</f>
        <v>#NAME?</v>
      </c>
      <c r="H36" s="1">
        <v>299.373944164286</v>
      </c>
      <c r="I36" s="1">
        <v>1484.4679927488701</v>
      </c>
      <c r="J36" s="1">
        <v>1.21936131273538</v>
      </c>
      <c r="K36" s="1">
        <v>131.186537232608</v>
      </c>
      <c r="L36" s="1">
        <v>61.8437140329237</v>
      </c>
      <c r="M36" s="1">
        <v>1.2192321656329299</v>
      </c>
      <c r="N36" s="1">
        <v>221.28199871006501</v>
      </c>
      <c r="O36" s="1">
        <v>175.61100988628399</v>
      </c>
      <c r="P36">
        <f t="shared" ref="P36:P41" si="12">B36*M36</f>
        <v>17.788002629430768</v>
      </c>
      <c r="Q36">
        <f t="shared" ref="Q36:Q41" si="13">C36/M36</f>
        <v>1.7989653288590703</v>
      </c>
      <c r="R36">
        <f t="shared" ref="R36:R41" si="14">1/(1/H36+1/(N36*B36))</f>
        <v>273.96844753194284</v>
      </c>
      <c r="S36">
        <f t="shared" ref="S36:S41" si="15">1/(1/I36+1/(O36*B36))</f>
        <v>939.89375814686275</v>
      </c>
    </row>
    <row r="37" spans="1:19">
      <c r="A37" s="4">
        <v>1E-4</v>
      </c>
      <c r="B37" s="1">
        <v>17.402818791882599</v>
      </c>
      <c r="C37" s="1">
        <v>1.83878257785032</v>
      </c>
      <c r="D37" s="1" t="e">
        <f>-inf</f>
        <v>#NAME?</v>
      </c>
      <c r="H37" s="1">
        <v>306.12769923130401</v>
      </c>
      <c r="I37" s="1">
        <v>1577.8637168611201</v>
      </c>
      <c r="J37" s="1">
        <v>1.2280330095196501</v>
      </c>
      <c r="K37" s="1">
        <v>121.99386918592</v>
      </c>
      <c r="L37" s="1">
        <v>53.694133297497999</v>
      </c>
      <c r="M37" s="1">
        <v>1.22908950324355</v>
      </c>
      <c r="N37" s="1">
        <v>215.182399709489</v>
      </c>
      <c r="O37" s="1">
        <v>165.94730694673299</v>
      </c>
      <c r="P37">
        <f t="shared" si="12"/>
        <v>21.389621903952502</v>
      </c>
      <c r="Q37">
        <f t="shared" si="13"/>
        <v>1.4960526251325053</v>
      </c>
      <c r="R37">
        <f t="shared" si="14"/>
        <v>282.99358509239795</v>
      </c>
      <c r="S37">
        <f t="shared" si="15"/>
        <v>1020.3721691799217</v>
      </c>
    </row>
    <row r="38" spans="1:19">
      <c r="A38" s="4">
        <v>5.0000000000000001E-4</v>
      </c>
      <c r="B38" s="1">
        <v>26.062374117024198</v>
      </c>
      <c r="C38" s="1">
        <v>1.2278236762435699</v>
      </c>
      <c r="D38" s="1">
        <v>38.293694204053402</v>
      </c>
      <c r="H38" s="1">
        <v>318.900732667912</v>
      </c>
      <c r="I38" s="1">
        <v>1793.09213255852</v>
      </c>
      <c r="J38" s="1">
        <v>1.2572383028529699</v>
      </c>
      <c r="K38" s="1">
        <v>106.689162211753</v>
      </c>
      <c r="L38" s="1">
        <v>37.670794559111002</v>
      </c>
      <c r="M38" s="1">
        <v>1.25726131105098</v>
      </c>
      <c r="N38" s="1">
        <v>200.12894114964999</v>
      </c>
      <c r="O38" s="1">
        <v>146.026719374946</v>
      </c>
      <c r="P38">
        <f t="shared" si="12"/>
        <v>32.767214651470972</v>
      </c>
      <c r="Q38">
        <f t="shared" si="13"/>
        <v>0.97658590577101079</v>
      </c>
      <c r="R38">
        <f t="shared" si="14"/>
        <v>300.52629239894713</v>
      </c>
      <c r="S38">
        <f t="shared" si="15"/>
        <v>1218.8396551247304</v>
      </c>
    </row>
    <row r="39" spans="1:19">
      <c r="A39" s="4">
        <v>1E-3</v>
      </c>
      <c r="B39" s="1">
        <v>30.6800069236977</v>
      </c>
      <c r="C39" s="1">
        <v>1.0430245364541499</v>
      </c>
      <c r="D39" s="1">
        <v>38.265895893643297</v>
      </c>
      <c r="H39" s="1">
        <v>324.36372777027401</v>
      </c>
      <c r="I39" s="1">
        <v>1885.1648420149099</v>
      </c>
      <c r="J39" s="1">
        <v>1.26484806101629</v>
      </c>
      <c r="K39" s="1">
        <v>102.421363100224</v>
      </c>
      <c r="L39" s="1">
        <v>33.995523126948697</v>
      </c>
      <c r="M39" s="1">
        <v>1.2642052975119</v>
      </c>
      <c r="N39" s="1">
        <v>193.855028513067</v>
      </c>
      <c r="O39" s="1">
        <v>140.80306256700999</v>
      </c>
      <c r="P39">
        <f t="shared" si="12"/>
        <v>38.785827280640405</v>
      </c>
      <c r="Q39">
        <f t="shared" si="13"/>
        <v>0.82504363690528826</v>
      </c>
      <c r="R39">
        <f t="shared" si="14"/>
        <v>307.58844771917603</v>
      </c>
      <c r="S39">
        <f t="shared" si="15"/>
        <v>1312.4260315958265</v>
      </c>
    </row>
    <row r="40" spans="1:19">
      <c r="A40" s="4">
        <v>5.0000000000000001E-3</v>
      </c>
      <c r="B40" s="1">
        <v>45.261117479281303</v>
      </c>
      <c r="C40" s="1">
        <v>0.70700861538931803</v>
      </c>
      <c r="D40" s="1">
        <v>37.692166049862699</v>
      </c>
      <c r="H40" s="1">
        <v>337.69497711877398</v>
      </c>
      <c r="I40" s="1">
        <v>2231.03418623072</v>
      </c>
      <c r="J40" s="1">
        <v>1.2885455848932501</v>
      </c>
      <c r="K40" s="1">
        <v>78.6717115297959</v>
      </c>
      <c r="L40" s="1">
        <v>25.852791063474999</v>
      </c>
      <c r="M40" s="1">
        <v>1.28809026512131</v>
      </c>
      <c r="N40" s="1">
        <v>175.021628241092</v>
      </c>
      <c r="O40" s="1">
        <v>125.379709146823</v>
      </c>
      <c r="P40">
        <f t="shared" si="12"/>
        <v>58.300404813574211</v>
      </c>
      <c r="Q40">
        <f t="shared" si="13"/>
        <v>0.54888126595905395</v>
      </c>
      <c r="R40">
        <f t="shared" si="14"/>
        <v>323.88788225499673</v>
      </c>
      <c r="S40">
        <f t="shared" si="15"/>
        <v>1601.4361939448211</v>
      </c>
    </row>
    <row r="41" spans="1:19">
      <c r="A41" s="4">
        <v>0.01</v>
      </c>
      <c r="B41" s="1">
        <v>53.701566991139401</v>
      </c>
      <c r="C41" s="1">
        <v>0.59588577750961802</v>
      </c>
      <c r="D41" s="1">
        <v>36.601916129416601</v>
      </c>
      <c r="H41" s="1">
        <v>343.17401050864999</v>
      </c>
      <c r="I41" s="1">
        <v>2443.2616377917502</v>
      </c>
      <c r="J41" s="1">
        <v>1.31139015322432</v>
      </c>
      <c r="K41" s="1">
        <v>70.950029769448705</v>
      </c>
      <c r="L41" s="1">
        <v>22.930349791861602</v>
      </c>
      <c r="M41" s="1">
        <v>1.31141206915714</v>
      </c>
      <c r="N41" s="1">
        <v>168.30704473242901</v>
      </c>
      <c r="O41" s="1">
        <v>112.150306884261</v>
      </c>
      <c r="P41">
        <f t="shared" si="12"/>
        <v>70.424883084830896</v>
      </c>
      <c r="Q41">
        <f t="shared" si="13"/>
        <v>0.45438485089785763</v>
      </c>
      <c r="R41">
        <f t="shared" si="14"/>
        <v>330.62078613103569</v>
      </c>
      <c r="S41">
        <f t="shared" si="15"/>
        <v>1738.1362304393681</v>
      </c>
    </row>
    <row r="42" spans="1:19">
      <c r="A42" s="2"/>
    </row>
    <row r="43" spans="1:19">
      <c r="A43" s="2"/>
      <c r="E43" s="2"/>
    </row>
    <row r="44" spans="1:19">
      <c r="A44" s="2" t="s">
        <v>22</v>
      </c>
      <c r="E44" s="2"/>
    </row>
    <row r="45" spans="1:19">
      <c r="A45" s="1" t="s">
        <v>21</v>
      </c>
      <c r="B45" s="1" t="s">
        <v>2</v>
      </c>
      <c r="C45" s="1" t="s">
        <v>3</v>
      </c>
      <c r="D45" s="1" t="s">
        <v>4</v>
      </c>
      <c r="E45" s="1" t="s">
        <v>5</v>
      </c>
      <c r="F45" s="1" t="s">
        <v>6</v>
      </c>
      <c r="G45" s="1" t="s">
        <v>7</v>
      </c>
      <c r="H45" s="1" t="s">
        <v>8</v>
      </c>
      <c r="I45" s="1" t="s">
        <v>9</v>
      </c>
      <c r="J45" s="1" t="s">
        <v>10</v>
      </c>
      <c r="K45" s="1" t="s">
        <v>11</v>
      </c>
      <c r="L45" s="1" t="s">
        <v>12</v>
      </c>
      <c r="M45" s="1" t="s">
        <v>13</v>
      </c>
      <c r="N45" s="1" t="s">
        <v>14</v>
      </c>
      <c r="O45" s="1" t="s">
        <v>15</v>
      </c>
      <c r="P45" s="1" t="s">
        <v>24</v>
      </c>
      <c r="Q45" s="1" t="s">
        <v>25</v>
      </c>
      <c r="R45" s="1" t="s">
        <v>26</v>
      </c>
      <c r="S45" s="1" t="s">
        <v>27</v>
      </c>
    </row>
    <row r="46" spans="1:19">
      <c r="A46" s="2">
        <v>0.5</v>
      </c>
      <c r="B46" s="1">
        <v>62.885746711443197</v>
      </c>
      <c r="C46" s="1">
        <v>0.5</v>
      </c>
      <c r="D46" s="1">
        <v>50.637823945659498</v>
      </c>
      <c r="H46" s="1">
        <v>425.86079039940603</v>
      </c>
      <c r="I46" s="1">
        <v>564.14489168060902</v>
      </c>
      <c r="J46" s="1">
        <v>1.4053253350147099</v>
      </c>
      <c r="K46" s="1">
        <v>65.582641669427204</v>
      </c>
      <c r="L46" s="1">
        <v>39.290986929369701</v>
      </c>
      <c r="M46" s="1">
        <v>1.4027146374219199</v>
      </c>
      <c r="N46" s="1">
        <v>168.13993296072499</v>
      </c>
      <c r="O46" s="1">
        <v>123.29849960531</v>
      </c>
      <c r="P46">
        <f>B46*M46</f>
        <v>88.210757397348743</v>
      </c>
      <c r="Q46">
        <f>C46/M46</f>
        <v>0.35645168779229464</v>
      </c>
      <c r="R46">
        <f>1/(1/H46+1/(N46*B46))</f>
        <v>409.37295250252424</v>
      </c>
      <c r="S46">
        <f>1/(1/I46+1/(O46*B46))</f>
        <v>525.88272570286301</v>
      </c>
    </row>
    <row r="47" spans="1:19">
      <c r="A47" s="2">
        <v>1</v>
      </c>
      <c r="B47" s="1">
        <v>31.442831619480899</v>
      </c>
      <c r="C47" s="1">
        <v>1</v>
      </c>
      <c r="D47" s="1">
        <v>61.874275375813603</v>
      </c>
      <c r="H47" s="1">
        <v>344.603767717496</v>
      </c>
      <c r="I47" s="1">
        <v>418.86613864368297</v>
      </c>
      <c r="J47" s="1">
        <v>1.41114893709344</v>
      </c>
      <c r="K47" s="1">
        <v>134.82399015139001</v>
      </c>
      <c r="L47" s="1">
        <v>82.462119759114799</v>
      </c>
      <c r="M47" s="1">
        <v>1.4143827046297099</v>
      </c>
      <c r="N47" s="1">
        <v>252.953435868762</v>
      </c>
      <c r="O47" s="1">
        <v>209.28351413215</v>
      </c>
      <c r="P47">
        <f t="shared" ref="P47:P53" si="16">B47*M47</f>
        <v>44.472197227177958</v>
      </c>
      <c r="Q47">
        <f t="shared" ref="Q47:Q53" si="17">C47/M47</f>
        <v>0.70702222017187588</v>
      </c>
      <c r="R47">
        <f t="shared" ref="R47:R53" si="18">1/(1/H47+1/(N47*B47))</f>
        <v>330.29318237002207</v>
      </c>
      <c r="S47">
        <f t="shared" ref="S47:S53" si="19">1/(1/I47+1/(O47*B47))</f>
        <v>393.79962783700392</v>
      </c>
    </row>
    <row r="48" spans="1:19">
      <c r="A48" s="2">
        <v>2</v>
      </c>
      <c r="B48" s="1">
        <v>15.7214158097404</v>
      </c>
      <c r="C48" s="1">
        <v>2</v>
      </c>
      <c r="D48" s="1">
        <v>74.079901761073003</v>
      </c>
      <c r="H48" s="1">
        <v>266.464099858324</v>
      </c>
      <c r="I48" s="1">
        <v>313.46258525711897</v>
      </c>
      <c r="J48" s="1">
        <v>1.4227679781917</v>
      </c>
      <c r="K48" s="1">
        <v>209.75139616684399</v>
      </c>
      <c r="L48" s="1">
        <v>121.425836881151</v>
      </c>
      <c r="M48" s="1">
        <v>1.42076737092469</v>
      </c>
      <c r="N48" s="1">
        <v>323.44593865415999</v>
      </c>
      <c r="O48" s="1">
        <v>315.39125124331201</v>
      </c>
      <c r="P48">
        <f t="shared" si="16"/>
        <v>22.336474607218722</v>
      </c>
      <c r="Q48">
        <f t="shared" si="17"/>
        <v>1.4076899856577669</v>
      </c>
      <c r="R48">
        <f t="shared" si="18"/>
        <v>253.19618990963463</v>
      </c>
      <c r="S48">
        <f t="shared" si="19"/>
        <v>294.82422991004449</v>
      </c>
    </row>
    <row r="49" spans="1:19">
      <c r="A49" s="2">
        <v>4</v>
      </c>
      <c r="B49" s="1">
        <v>7.8607079048702397</v>
      </c>
      <c r="C49" s="1">
        <v>4</v>
      </c>
      <c r="D49" s="1">
        <v>87.312265880115902</v>
      </c>
      <c r="H49" s="1">
        <v>208.92039996743901</v>
      </c>
      <c r="I49" s="1">
        <v>253.63299515661001</v>
      </c>
      <c r="J49" s="1">
        <v>1.44346914155283</v>
      </c>
      <c r="K49" s="1">
        <v>219.10774643138799</v>
      </c>
      <c r="L49" s="1">
        <v>162.692070535358</v>
      </c>
      <c r="M49" s="1">
        <v>1.4473705862390001</v>
      </c>
      <c r="N49" s="1">
        <v>358.56895367278599</v>
      </c>
      <c r="O49" s="1">
        <v>346.82037740692903</v>
      </c>
      <c r="P49">
        <f t="shared" si="16"/>
        <v>11.377357408525581</v>
      </c>
      <c r="Q49">
        <f t="shared" si="17"/>
        <v>2.7636322293891715</v>
      </c>
      <c r="R49">
        <f t="shared" si="18"/>
        <v>194.50343690387447</v>
      </c>
      <c r="S49">
        <f t="shared" si="19"/>
        <v>232.04502782892621</v>
      </c>
    </row>
    <row r="50" spans="1:19">
      <c r="A50" s="2">
        <v>6</v>
      </c>
      <c r="B50" s="1">
        <v>5.2404719365801604</v>
      </c>
      <c r="C50" s="1">
        <v>6</v>
      </c>
      <c r="D50" s="1">
        <v>98.829834598691505</v>
      </c>
      <c r="H50" s="1">
        <v>192.96411488755501</v>
      </c>
      <c r="I50" s="1">
        <v>234.18520529893499</v>
      </c>
      <c r="J50" s="1">
        <v>1.4533214183294201</v>
      </c>
      <c r="K50" s="1">
        <v>260.71550053091198</v>
      </c>
      <c r="L50" s="1">
        <v>201.944775376189</v>
      </c>
      <c r="M50" s="1">
        <v>1.4523956515665399</v>
      </c>
      <c r="N50" s="1">
        <v>369.70726183549402</v>
      </c>
      <c r="O50" s="1">
        <v>344.648177879591</v>
      </c>
      <c r="P50">
        <f t="shared" si="16"/>
        <v>7.6112386528455094</v>
      </c>
      <c r="Q50">
        <f t="shared" si="17"/>
        <v>4.1311057310922532</v>
      </c>
      <c r="R50">
        <f t="shared" si="18"/>
        <v>175.48614434485907</v>
      </c>
      <c r="S50">
        <f t="shared" si="19"/>
        <v>207.30553341550927</v>
      </c>
    </row>
    <row r="51" spans="1:19">
      <c r="A51" s="2">
        <v>8</v>
      </c>
      <c r="B51" s="1">
        <v>3.9303539524351199</v>
      </c>
      <c r="C51" s="1">
        <v>8</v>
      </c>
      <c r="D51" s="1">
        <v>110.82847294764299</v>
      </c>
      <c r="H51" s="1">
        <v>186.06135307100899</v>
      </c>
      <c r="I51" s="1">
        <v>220.88927955940301</v>
      </c>
      <c r="J51" s="1">
        <v>1.4587594258530101</v>
      </c>
      <c r="K51" s="1">
        <v>259.10624275801803</v>
      </c>
      <c r="L51" s="1">
        <v>179.19869205348101</v>
      </c>
      <c r="M51" s="1">
        <v>1.4566437146937701</v>
      </c>
      <c r="N51" s="1">
        <v>344.86006646450397</v>
      </c>
      <c r="O51" s="1">
        <v>336.26073343486797</v>
      </c>
      <c r="P51">
        <f t="shared" si="16"/>
        <v>5.7251253813364347</v>
      </c>
      <c r="Q51">
        <f t="shared" si="17"/>
        <v>5.4920773826164062</v>
      </c>
      <c r="R51">
        <f t="shared" si="18"/>
        <v>163.60322906700293</v>
      </c>
      <c r="S51">
        <f t="shared" si="19"/>
        <v>189.25773130970049</v>
      </c>
    </row>
    <row r="52" spans="1:19">
      <c r="A52" s="2">
        <v>12</v>
      </c>
      <c r="B52" s="1">
        <v>2.6202359682900802</v>
      </c>
      <c r="C52" s="1">
        <v>12</v>
      </c>
      <c r="D52" s="1">
        <v>134.91911251751799</v>
      </c>
      <c r="H52" s="1">
        <v>175.515973459745</v>
      </c>
      <c r="I52" s="1">
        <v>207.95302750975401</v>
      </c>
      <c r="J52" s="1">
        <v>1.4656928685773001</v>
      </c>
      <c r="K52" s="1">
        <v>269.93211060457702</v>
      </c>
      <c r="L52" s="1">
        <v>213.816536548687</v>
      </c>
      <c r="M52" s="1">
        <v>1.4701565010561899</v>
      </c>
      <c r="N52" s="1">
        <v>347.330647591353</v>
      </c>
      <c r="O52" s="1">
        <v>341.861307335189</v>
      </c>
      <c r="P52">
        <f t="shared" si="16"/>
        <v>3.8521569430829219</v>
      </c>
      <c r="Q52">
        <f t="shared" si="17"/>
        <v>8.162396310446514</v>
      </c>
      <c r="R52">
        <f t="shared" si="18"/>
        <v>147.13928137267692</v>
      </c>
      <c r="S52">
        <f t="shared" si="19"/>
        <v>168.7720387833136</v>
      </c>
    </row>
    <row r="53" spans="1:19">
      <c r="A53" s="2">
        <v>16</v>
      </c>
      <c r="B53" s="1">
        <v>1.9651769762175599</v>
      </c>
      <c r="C53" s="1">
        <v>16</v>
      </c>
      <c r="D53" s="1">
        <v>159.00181820919499</v>
      </c>
      <c r="H53" s="1">
        <v>175.38620388511401</v>
      </c>
      <c r="I53" s="1">
        <v>199.58459806246699</v>
      </c>
      <c r="J53" s="1">
        <v>1.4712467564626801</v>
      </c>
      <c r="K53" s="1">
        <v>259.02094693457502</v>
      </c>
      <c r="L53" s="1">
        <v>230.51275839106901</v>
      </c>
      <c r="M53" s="1">
        <v>1.4748934940226099</v>
      </c>
      <c r="N53" s="1">
        <v>317.11633942007597</v>
      </c>
      <c r="O53" s="1">
        <v>348.70495297851301</v>
      </c>
      <c r="P53">
        <f t="shared" si="16"/>
        <v>2.8984267368263046</v>
      </c>
      <c r="Q53">
        <f t="shared" si="17"/>
        <v>10.848240950851141</v>
      </c>
      <c r="R53">
        <f t="shared" si="18"/>
        <v>136.8672362502067</v>
      </c>
      <c r="S53">
        <f t="shared" si="19"/>
        <v>154.56686362760166</v>
      </c>
    </row>
    <row r="56" spans="1:19">
      <c r="A56" s="1" t="s">
        <v>23</v>
      </c>
      <c r="E56" s="2"/>
    </row>
    <row r="57" spans="1:19">
      <c r="A57" s="1" t="s">
        <v>0</v>
      </c>
      <c r="B57" s="1" t="s">
        <v>2</v>
      </c>
      <c r="C57" s="1" t="s">
        <v>3</v>
      </c>
      <c r="D57" s="1" t="s">
        <v>4</v>
      </c>
      <c r="E57" s="1" t="s">
        <v>5</v>
      </c>
      <c r="F57" s="1" t="s">
        <v>6</v>
      </c>
      <c r="G57" s="1" t="s">
        <v>7</v>
      </c>
      <c r="H57" s="1" t="s">
        <v>8</v>
      </c>
      <c r="I57" s="1" t="s">
        <v>9</v>
      </c>
      <c r="J57" s="1" t="s">
        <v>10</v>
      </c>
      <c r="K57" s="1" t="s">
        <v>11</v>
      </c>
      <c r="L57" s="1" t="s">
        <v>12</v>
      </c>
      <c r="M57" s="1" t="s">
        <v>13</v>
      </c>
      <c r="N57" s="1" t="s">
        <v>14</v>
      </c>
      <c r="O57" s="1" t="s">
        <v>15</v>
      </c>
      <c r="P57" s="1" t="s">
        <v>24</v>
      </c>
      <c r="Q57" s="1" t="s">
        <v>25</v>
      </c>
      <c r="R57" s="1" t="s">
        <v>26</v>
      </c>
      <c r="S57" s="1" t="s">
        <v>27</v>
      </c>
    </row>
    <row r="58" spans="1:19">
      <c r="A58" s="4">
        <v>1.0000000000000001E-5</v>
      </c>
      <c r="B58" s="1">
        <v>7.9175576073111698</v>
      </c>
      <c r="C58" s="1">
        <v>4.0416504163418701</v>
      </c>
      <c r="D58" s="1">
        <v>61.219363477350797</v>
      </c>
      <c r="F58" s="1">
        <v>141.18372972972901</v>
      </c>
      <c r="G58" s="1">
        <v>115.87527027026999</v>
      </c>
      <c r="H58" s="1">
        <v>153.71899850467</v>
      </c>
      <c r="I58" s="1">
        <v>118.516601341667</v>
      </c>
      <c r="J58" s="1">
        <v>1.3437016280518299</v>
      </c>
      <c r="K58" s="1">
        <v>183.16065509914401</v>
      </c>
      <c r="L58" s="1">
        <v>112.430720480901</v>
      </c>
      <c r="M58" s="1">
        <v>1.3439300237070799</v>
      </c>
      <c r="N58" s="1">
        <v>270.77463601035402</v>
      </c>
      <c r="O58" s="1">
        <v>197.546850902887</v>
      </c>
      <c r="P58">
        <f>B58*M58</f>
        <v>10.640643382895872</v>
      </c>
      <c r="Q58">
        <f>C58/M58</f>
        <v>3.0073369483877084</v>
      </c>
      <c r="R58">
        <f>1/(1/H58+1/(N58*B58))</f>
        <v>143.43452567272845</v>
      </c>
      <c r="S58">
        <f>1/(1/I58+1/(O58*B58))</f>
        <v>110.16872210372689</v>
      </c>
    </row>
    <row r="59" spans="1:19">
      <c r="A59" s="2">
        <v>5.0000000000000002E-5</v>
      </c>
      <c r="B59" s="1">
        <v>10.492764995316699</v>
      </c>
      <c r="C59" s="1">
        <v>3.0497204515952201</v>
      </c>
      <c r="D59" s="1">
        <v>93.223318281865303</v>
      </c>
      <c r="F59" s="1">
        <v>141.81454054054001</v>
      </c>
      <c r="G59" s="1">
        <v>116.35332432432401</v>
      </c>
      <c r="H59" s="1">
        <v>154.55719742194299</v>
      </c>
      <c r="I59" s="1">
        <v>119.01570140126999</v>
      </c>
      <c r="J59" s="1">
        <v>1.4457238342362699</v>
      </c>
      <c r="K59" s="1">
        <v>170.30663210729699</v>
      </c>
      <c r="L59" s="1">
        <v>98.944759330987694</v>
      </c>
      <c r="M59" s="1">
        <v>1.44740230382299</v>
      </c>
      <c r="N59" s="1">
        <v>261.80762965761699</v>
      </c>
      <c r="O59" s="1">
        <v>180.358850581051</v>
      </c>
      <c r="P59">
        <f t="shared" ref="P59:P64" si="20">B59*M59</f>
        <v>15.187252227694616</v>
      </c>
      <c r="Q59">
        <f t="shared" ref="Q59:Q64" si="21">C59/M59</f>
        <v>2.1070302593412107</v>
      </c>
      <c r="R59">
        <f t="shared" ref="R59:R64" si="22">1/(1/H59+1/(N59*B59))</f>
        <v>146.32464565398553</v>
      </c>
      <c r="S59">
        <f t="shared" ref="S59:S64" si="23">1/(1/I59+1/(O59*B59))</f>
        <v>111.97374916437258</v>
      </c>
    </row>
    <row r="60" spans="1:19">
      <c r="A60" s="2">
        <v>1E-4</v>
      </c>
      <c r="B60" s="1">
        <v>12.146123222115101</v>
      </c>
      <c r="C60" s="1">
        <v>2.6345854899393499</v>
      </c>
      <c r="D60" s="1">
        <v>87.522483076825694</v>
      </c>
      <c r="F60" s="1">
        <v>142.01348648648599</v>
      </c>
      <c r="G60" s="1">
        <v>116.45091891891801</v>
      </c>
      <c r="H60" s="1">
        <v>154.62420935480699</v>
      </c>
      <c r="I60" s="1">
        <v>119.135613597515</v>
      </c>
      <c r="J60" s="1">
        <v>1.5112168829016399</v>
      </c>
      <c r="K60" s="1">
        <v>170.46669203624401</v>
      </c>
      <c r="L60" s="1">
        <v>90.714920100926605</v>
      </c>
      <c r="M60" s="1">
        <v>1.51234586849851</v>
      </c>
      <c r="N60" s="1">
        <v>251.15450147490799</v>
      </c>
      <c r="O60" s="1">
        <v>173.691081014655</v>
      </c>
      <c r="P60">
        <f t="shared" si="20"/>
        <v>18.369139273239583</v>
      </c>
      <c r="Q60">
        <f t="shared" si="21"/>
        <v>1.742052228142114</v>
      </c>
      <c r="R60">
        <f t="shared" si="22"/>
        <v>147.16482703117893</v>
      </c>
      <c r="S60">
        <f t="shared" si="23"/>
        <v>112.76750616791936</v>
      </c>
    </row>
    <row r="61" spans="1:19">
      <c r="A61" s="2">
        <v>5.0000000000000001E-4</v>
      </c>
      <c r="B61" s="1">
        <v>18.046068005007999</v>
      </c>
      <c r="C61" s="1">
        <v>1.7732394664100499</v>
      </c>
      <c r="D61" s="1">
        <v>74.591443723869801</v>
      </c>
      <c r="F61" s="1">
        <v>142.072702702702</v>
      </c>
      <c r="G61" s="1">
        <v>116.934864864864</v>
      </c>
      <c r="H61" s="1">
        <v>154.88182230629201</v>
      </c>
      <c r="I61" s="1">
        <v>119.62630678935</v>
      </c>
      <c r="J61" s="1">
        <v>1.6394631392266099</v>
      </c>
      <c r="K61" s="1">
        <v>139.84119912473599</v>
      </c>
      <c r="L61" s="1">
        <v>66.180324714691295</v>
      </c>
      <c r="M61" s="1">
        <v>1.64020835671561</v>
      </c>
      <c r="N61" s="1">
        <v>240.11755504474701</v>
      </c>
      <c r="O61" s="1">
        <v>154.566305467105</v>
      </c>
      <c r="P61">
        <f t="shared" si="20"/>
        <v>29.599311547672318</v>
      </c>
      <c r="Q61">
        <f t="shared" si="21"/>
        <v>1.0811062260168118</v>
      </c>
      <c r="R61">
        <f t="shared" si="22"/>
        <v>149.5368890195283</v>
      </c>
      <c r="S61">
        <f t="shared" si="23"/>
        <v>114.70683389787834</v>
      </c>
    </row>
    <row r="62" spans="1:19">
      <c r="A62" s="2">
        <v>1E-3</v>
      </c>
      <c r="B62" s="1">
        <v>20.902594803025501</v>
      </c>
      <c r="C62" s="1">
        <v>1.5309104109585501</v>
      </c>
      <c r="D62" s="1">
        <v>69.0538723459496</v>
      </c>
      <c r="F62" s="1">
        <v>140.24887297297201</v>
      </c>
      <c r="G62" s="1">
        <v>116.613381081081</v>
      </c>
      <c r="H62" s="1">
        <v>155.03574098251801</v>
      </c>
      <c r="I62" s="1">
        <v>120.18490760975401</v>
      </c>
      <c r="J62" s="1">
        <v>1.6965863246577799</v>
      </c>
      <c r="K62" s="1">
        <v>130.71911243078799</v>
      </c>
      <c r="L62" s="1">
        <v>58.763178772140598</v>
      </c>
      <c r="M62" s="1">
        <v>1.6985717556272799</v>
      </c>
      <c r="N62" s="1">
        <v>229.717995361954</v>
      </c>
      <c r="O62" s="1">
        <v>147.00159378796999</v>
      </c>
      <c r="P62">
        <f t="shared" si="20"/>
        <v>35.504557151740684</v>
      </c>
      <c r="Q62">
        <f t="shared" si="21"/>
        <v>0.90129275132871101</v>
      </c>
      <c r="R62">
        <f t="shared" si="22"/>
        <v>150.18656771887251</v>
      </c>
      <c r="S62">
        <f t="shared" si="23"/>
        <v>115.66099093070622</v>
      </c>
    </row>
    <row r="63" spans="1:19">
      <c r="A63" s="2">
        <v>5.0000000000000001E-3</v>
      </c>
      <c r="B63" s="1">
        <v>27.807005690972101</v>
      </c>
      <c r="C63" s="1">
        <v>1.1507891340630401</v>
      </c>
      <c r="D63" s="1">
        <v>56.307149001061703</v>
      </c>
      <c r="F63" s="1">
        <v>142.38581081081</v>
      </c>
      <c r="G63" s="1">
        <v>117.447297297297</v>
      </c>
      <c r="H63" s="1">
        <v>155.19329071569899</v>
      </c>
      <c r="I63" s="1">
        <v>120.17175788930599</v>
      </c>
      <c r="J63" s="1">
        <v>1.9658752580730401</v>
      </c>
      <c r="K63" s="1">
        <v>105.27726933363</v>
      </c>
      <c r="L63" s="1">
        <v>46.364610390725701</v>
      </c>
      <c r="M63" s="1">
        <v>1.9681328050004201</v>
      </c>
      <c r="N63" s="1">
        <v>206.07904931712901</v>
      </c>
      <c r="O63" s="1">
        <v>130.600812948792</v>
      </c>
      <c r="P63">
        <f t="shared" si="20"/>
        <v>54.727880109235564</v>
      </c>
      <c r="Q63">
        <f t="shared" si="21"/>
        <v>0.58471111864973691</v>
      </c>
      <c r="R63">
        <f t="shared" si="22"/>
        <v>151.10113087743505</v>
      </c>
      <c r="S63">
        <f t="shared" si="23"/>
        <v>116.32259414015192</v>
      </c>
    </row>
    <row r="64" spans="1:19">
      <c r="A64" s="2">
        <v>0.01</v>
      </c>
      <c r="B64" s="1">
        <v>32.023067583530398</v>
      </c>
      <c r="C64" s="1">
        <v>0.99927965728235502</v>
      </c>
      <c r="D64" s="1">
        <v>50.923478491174002</v>
      </c>
      <c r="F64" s="1">
        <v>142.30959459459399</v>
      </c>
      <c r="G64" s="1">
        <v>117.984459459459</v>
      </c>
      <c r="H64" s="1">
        <v>155.307670894843</v>
      </c>
      <c r="I64" s="1">
        <v>120.76713379561301</v>
      </c>
      <c r="J64" s="1">
        <v>2.1753141157489502</v>
      </c>
      <c r="K64" s="1">
        <v>95.599379736472102</v>
      </c>
      <c r="L64" s="1">
        <v>40.879984240739901</v>
      </c>
      <c r="M64" s="1">
        <v>2.1773409624020901</v>
      </c>
      <c r="N64" s="1">
        <v>194.084337791108</v>
      </c>
      <c r="O64" s="1">
        <v>121.99590314334</v>
      </c>
      <c r="P64">
        <f t="shared" si="20"/>
        <v>69.72513679139125</v>
      </c>
      <c r="Q64">
        <f t="shared" si="21"/>
        <v>0.45894495834034549</v>
      </c>
      <c r="R64">
        <f t="shared" si="22"/>
        <v>151.52138489329749</v>
      </c>
      <c r="S64">
        <f t="shared" si="23"/>
        <v>117.14581014540902</v>
      </c>
    </row>
    <row r="65" spans="1:21">
      <c r="A65" s="2"/>
    </row>
    <row r="66" spans="1:21">
      <c r="A66" s="2"/>
    </row>
    <row r="67" spans="1:21">
      <c r="A67" s="2"/>
      <c r="E67" s="2"/>
    </row>
    <row r="68" spans="1:21">
      <c r="A68" s="2"/>
    </row>
    <row r="69" spans="1:21">
      <c r="A69" s="2"/>
    </row>
    <row r="70" spans="1:21">
      <c r="A70" s="2"/>
    </row>
    <row r="71" spans="1:21">
      <c r="A71" s="2"/>
      <c r="E71" s="2"/>
    </row>
    <row r="72" spans="1:21">
      <c r="A72" s="2"/>
      <c r="U72" t="s">
        <v>28</v>
      </c>
    </row>
    <row r="73" spans="1:21">
      <c r="A73" s="2"/>
    </row>
    <row r="74" spans="1:21">
      <c r="A74" s="2"/>
      <c r="E74" s="2"/>
    </row>
    <row r="75" spans="1:21">
      <c r="A75" s="2"/>
      <c r="E75" s="2"/>
    </row>
    <row r="76" spans="1:21">
      <c r="A76" s="2"/>
    </row>
    <row r="77" spans="1:21">
      <c r="A77" s="2"/>
    </row>
    <row r="78" spans="1:21">
      <c r="A78" s="2"/>
      <c r="E78" s="2"/>
    </row>
    <row r="79" spans="1:21">
      <c r="A79" s="2"/>
    </row>
    <row r="80" spans="1:21">
      <c r="A80" s="2"/>
    </row>
    <row r="81" spans="1:5">
      <c r="A81" s="2"/>
      <c r="E81" s="2"/>
    </row>
    <row r="82" spans="1:5">
      <c r="A82" s="2"/>
      <c r="E82" s="2"/>
    </row>
    <row r="83" spans="1:5">
      <c r="A83" s="2"/>
    </row>
    <row r="84" spans="1:5">
      <c r="A84" s="2"/>
    </row>
    <row r="85" spans="1:5">
      <c r="A85" s="2"/>
      <c r="E85" s="2"/>
    </row>
    <row r="86" spans="1:5">
      <c r="A86" s="2"/>
    </row>
    <row r="87" spans="1:5">
      <c r="A87" s="2"/>
    </row>
    <row r="88" spans="1:5">
      <c r="A88" s="2"/>
      <c r="E88" s="2"/>
    </row>
    <row r="89" spans="1:5">
      <c r="A89" s="2"/>
      <c r="E89" s="2"/>
    </row>
    <row r="90" spans="1:5">
      <c r="A90" s="2"/>
    </row>
    <row r="91" spans="1:5">
      <c r="A91" s="2"/>
    </row>
    <row r="92" spans="1:5">
      <c r="A92" s="2"/>
      <c r="E92" s="2"/>
    </row>
    <row r="93" spans="1:5">
      <c r="A93" s="2"/>
    </row>
    <row r="94" spans="1:5">
      <c r="A94" s="2"/>
    </row>
    <row r="95" spans="1:5">
      <c r="A95" s="2"/>
      <c r="E95" s="2"/>
    </row>
    <row r="96" spans="1:5">
      <c r="A96" s="2"/>
      <c r="E96" s="2"/>
    </row>
    <row r="97" spans="1:5">
      <c r="A97" s="2"/>
    </row>
    <row r="98" spans="1:5">
      <c r="A98" s="2"/>
    </row>
    <row r="99" spans="1:5">
      <c r="A99" s="2"/>
      <c r="E99" s="2"/>
    </row>
    <row r="100" spans="1:5">
      <c r="A100" s="2"/>
    </row>
    <row r="101" spans="1:5">
      <c r="A101" s="2"/>
    </row>
    <row r="102" spans="1:5">
      <c r="A102" s="2"/>
      <c r="E102" s="2"/>
    </row>
    <row r="103" spans="1:5">
      <c r="A103" s="2"/>
      <c r="E103" s="2"/>
    </row>
    <row r="104" spans="1:5">
      <c r="A104" s="2"/>
    </row>
    <row r="105" spans="1:5">
      <c r="A105" s="2"/>
    </row>
    <row r="106" spans="1:5">
      <c r="A106" s="2"/>
      <c r="E106" s="2"/>
    </row>
    <row r="107" spans="1:5">
      <c r="A107" s="2"/>
    </row>
    <row r="108" spans="1:5">
      <c r="A108" s="2"/>
    </row>
    <row r="109" spans="1:5">
      <c r="A109" s="2"/>
      <c r="E109" s="2"/>
    </row>
    <row r="110" spans="1:5">
      <c r="A110" s="2"/>
      <c r="E110" s="2"/>
    </row>
    <row r="111" spans="1:5">
      <c r="A111" s="2"/>
    </row>
    <row r="112" spans="1:5">
      <c r="A112" s="2"/>
    </row>
    <row r="113" spans="1:5">
      <c r="A113" s="2"/>
      <c r="E113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cesm_theta_a100</vt:lpstr>
      <vt:lpstr>miranda</vt:lpstr>
      <vt:lpstr>jhtdb</vt:lpstr>
      <vt:lpstr>logscale</vt:lpstr>
      <vt:lpstr>loghurricane</vt:lpstr>
      <vt:lpstr>lognyx</vt:lpstr>
      <vt:lpstr>qmcpack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2023-11-23T05:14:46Z</dcterms:modified>
</cp:coreProperties>
</file>