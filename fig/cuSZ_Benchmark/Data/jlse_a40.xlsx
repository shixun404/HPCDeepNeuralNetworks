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8_{930783B3-B557-4F94-88F1-52502733D765}" xr6:coauthVersionLast="47" xr6:coauthVersionMax="47" xr10:uidLastSave="{00000000-0000-0000-0000-000000000000}"/>
  <bookViews>
    <workbookView xWindow="-120" yWindow="-120" windowWidth="20640" windowHeight="11160" activeTab="6" xr2:uid="{00000000-000D-0000-FFFF-FFFF00000000}"/>
  </bookViews>
  <sheets>
    <sheet name="CR" sheetId="16" r:id="rId1"/>
    <sheet name="miranda" sheetId="1" r:id="rId2"/>
    <sheet name="jhtdb" sheetId="3" r:id="rId3"/>
    <sheet name="rtm" sheetId="10" r:id="rId4"/>
    <sheet name="qmcpack" sheetId="9" r:id="rId5"/>
    <sheet name="S3D" sheetId="13" r:id="rId6"/>
    <sheet name="nyx" sheetId="1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0" l="1"/>
  <c r="D40" i="10"/>
  <c r="D39" i="10"/>
  <c r="D40" i="3"/>
  <c r="D39" i="3"/>
  <c r="D40" i="1"/>
  <c r="Y2" i="14"/>
  <c r="Y2" i="13"/>
  <c r="Y2" i="10"/>
  <c r="Y2" i="9"/>
  <c r="Y2" i="3"/>
  <c r="Y2" i="1"/>
  <c r="M47" i="16" l="1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6" i="16"/>
  <c r="S58" i="14"/>
  <c r="R58" i="14"/>
  <c r="T58" i="14" s="1"/>
  <c r="Q58" i="14"/>
  <c r="P58" i="14"/>
  <c r="S59" i="14"/>
  <c r="R59" i="14"/>
  <c r="T59" i="14" s="1"/>
  <c r="Q59" i="14"/>
  <c r="P59" i="14"/>
  <c r="S60" i="14"/>
  <c r="R60" i="14"/>
  <c r="T60" i="14" s="1"/>
  <c r="Q60" i="14"/>
  <c r="P60" i="14"/>
  <c r="S61" i="14"/>
  <c r="R61" i="14"/>
  <c r="T61" i="14" s="1"/>
  <c r="Q61" i="14"/>
  <c r="P61" i="14"/>
  <c r="S62" i="14"/>
  <c r="R62" i="14"/>
  <c r="T62" i="14" s="1"/>
  <c r="Q62" i="14"/>
  <c r="P62" i="14"/>
  <c r="S63" i="14"/>
  <c r="R63" i="14"/>
  <c r="T63" i="14" s="1"/>
  <c r="Q63" i="14"/>
  <c r="P63" i="14"/>
  <c r="S64" i="14"/>
  <c r="R64" i="14"/>
  <c r="T64" i="14" s="1"/>
  <c r="Q64" i="14"/>
  <c r="P64" i="14"/>
  <c r="S53" i="14"/>
  <c r="R53" i="14"/>
  <c r="Q53" i="14"/>
  <c r="P53" i="14"/>
  <c r="S52" i="14"/>
  <c r="R52" i="14"/>
  <c r="T52" i="14" s="1"/>
  <c r="Q52" i="14"/>
  <c r="P52" i="14"/>
  <c r="S51" i="14"/>
  <c r="R51" i="14"/>
  <c r="Q51" i="14"/>
  <c r="P51" i="14"/>
  <c r="S50" i="14"/>
  <c r="R50" i="14"/>
  <c r="T50" i="14" s="1"/>
  <c r="Q50" i="14"/>
  <c r="P50" i="14"/>
  <c r="S49" i="14"/>
  <c r="R49" i="14"/>
  <c r="Q49" i="14"/>
  <c r="P49" i="14"/>
  <c r="S48" i="14"/>
  <c r="R48" i="14"/>
  <c r="T48" i="14" s="1"/>
  <c r="Q48" i="14"/>
  <c r="P48" i="14"/>
  <c r="S47" i="14"/>
  <c r="R47" i="14"/>
  <c r="Q47" i="14"/>
  <c r="P47" i="14"/>
  <c r="S46" i="14"/>
  <c r="R46" i="14"/>
  <c r="T46" i="14" s="1"/>
  <c r="Q46" i="14"/>
  <c r="P46" i="14"/>
  <c r="S41" i="14"/>
  <c r="R41" i="14"/>
  <c r="Q41" i="14"/>
  <c r="P41" i="14"/>
  <c r="S40" i="14"/>
  <c r="R40" i="14"/>
  <c r="Q40" i="14"/>
  <c r="P40" i="14"/>
  <c r="S39" i="14"/>
  <c r="R39" i="14"/>
  <c r="Q39" i="14"/>
  <c r="P39" i="14"/>
  <c r="S38" i="14"/>
  <c r="R38" i="14"/>
  <c r="Q38" i="14"/>
  <c r="P38" i="14"/>
  <c r="S37" i="14"/>
  <c r="R37" i="14"/>
  <c r="Q37" i="14"/>
  <c r="P37" i="14"/>
  <c r="S36" i="14"/>
  <c r="R36" i="14"/>
  <c r="Q36" i="14"/>
  <c r="P36" i="14"/>
  <c r="S35" i="14"/>
  <c r="R35" i="14"/>
  <c r="Q35" i="14"/>
  <c r="P35" i="14"/>
  <c r="S24" i="14"/>
  <c r="R24" i="14"/>
  <c r="Q24" i="14"/>
  <c r="P24" i="14"/>
  <c r="S25" i="14"/>
  <c r="R25" i="14"/>
  <c r="Q25" i="14"/>
  <c r="P25" i="14"/>
  <c r="S26" i="14"/>
  <c r="R26" i="14"/>
  <c r="Q26" i="14"/>
  <c r="P26" i="14"/>
  <c r="S27" i="14"/>
  <c r="R27" i="14"/>
  <c r="Q27" i="14"/>
  <c r="P27" i="14"/>
  <c r="S28" i="14"/>
  <c r="R28" i="14"/>
  <c r="Q28" i="14"/>
  <c r="P28" i="14"/>
  <c r="S29" i="14"/>
  <c r="R29" i="14"/>
  <c r="Q29" i="14"/>
  <c r="P29" i="14"/>
  <c r="S30" i="14"/>
  <c r="R30" i="14"/>
  <c r="Q30" i="14"/>
  <c r="P30" i="14"/>
  <c r="S13" i="14"/>
  <c r="R13" i="14"/>
  <c r="Q13" i="14"/>
  <c r="P13" i="14"/>
  <c r="S14" i="14"/>
  <c r="R14" i="14"/>
  <c r="Q14" i="14"/>
  <c r="P14" i="14"/>
  <c r="S15" i="14"/>
  <c r="R15" i="14"/>
  <c r="T15" i="14" s="1"/>
  <c r="Q15" i="14"/>
  <c r="P15" i="14"/>
  <c r="S16" i="14"/>
  <c r="R16" i="14"/>
  <c r="Q16" i="14"/>
  <c r="P16" i="14"/>
  <c r="S17" i="14"/>
  <c r="R17" i="14"/>
  <c r="T17" i="14" s="1"/>
  <c r="Q17" i="14"/>
  <c r="P17" i="14"/>
  <c r="S18" i="14"/>
  <c r="R18" i="14"/>
  <c r="Q18" i="14"/>
  <c r="P18" i="14"/>
  <c r="S19" i="14"/>
  <c r="R19" i="14"/>
  <c r="T19" i="14" s="1"/>
  <c r="Q19" i="14"/>
  <c r="P19" i="14"/>
  <c r="S3" i="14"/>
  <c r="R3" i="14"/>
  <c r="Q3" i="14"/>
  <c r="P3" i="14"/>
  <c r="S4" i="14"/>
  <c r="R4" i="14"/>
  <c r="Q4" i="14"/>
  <c r="P4" i="14"/>
  <c r="S5" i="14"/>
  <c r="R5" i="14"/>
  <c r="Q5" i="14"/>
  <c r="P5" i="14"/>
  <c r="S6" i="14"/>
  <c r="R6" i="14"/>
  <c r="Q6" i="14"/>
  <c r="P6" i="14"/>
  <c r="S7" i="14"/>
  <c r="R7" i="14"/>
  <c r="Q7" i="14"/>
  <c r="P7" i="14"/>
  <c r="S8" i="14"/>
  <c r="R8" i="14"/>
  <c r="Q8" i="14"/>
  <c r="P8" i="14"/>
  <c r="S9" i="14"/>
  <c r="R9" i="14"/>
  <c r="Q9" i="14"/>
  <c r="P9" i="14"/>
  <c r="T47" i="14" l="1"/>
  <c r="T49" i="14"/>
  <c r="T51" i="14"/>
  <c r="T53" i="14"/>
  <c r="T36" i="14"/>
  <c r="T35" i="14"/>
  <c r="T37" i="14"/>
  <c r="T38" i="14"/>
  <c r="T40" i="14"/>
  <c r="T39" i="14"/>
  <c r="T41" i="14"/>
  <c r="T24" i="14"/>
  <c r="T30" i="14"/>
  <c r="T28" i="14"/>
  <c r="T29" i="14"/>
  <c r="T27" i="14"/>
  <c r="T25" i="14"/>
  <c r="T26" i="14"/>
  <c r="T14" i="14"/>
  <c r="T16" i="14"/>
  <c r="T18" i="14"/>
  <c r="T13" i="14"/>
  <c r="T3" i="14"/>
  <c r="T9" i="14"/>
  <c r="T5" i="14"/>
  <c r="T7" i="14"/>
  <c r="T8" i="14"/>
  <c r="T6" i="14"/>
  <c r="T4" i="14"/>
  <c r="S58" i="13"/>
  <c r="R58" i="13"/>
  <c r="Q58" i="13"/>
  <c r="P58" i="13"/>
  <c r="S59" i="13"/>
  <c r="R59" i="13"/>
  <c r="Q59" i="13"/>
  <c r="P59" i="13"/>
  <c r="S60" i="13"/>
  <c r="R60" i="13"/>
  <c r="Q60" i="13"/>
  <c r="P60" i="13"/>
  <c r="S61" i="13"/>
  <c r="R61" i="13"/>
  <c r="Q61" i="13"/>
  <c r="P61" i="13"/>
  <c r="S62" i="13"/>
  <c r="R62" i="13"/>
  <c r="Q62" i="13"/>
  <c r="P62" i="13"/>
  <c r="S63" i="13"/>
  <c r="R63" i="13"/>
  <c r="Q63" i="13"/>
  <c r="P63" i="13"/>
  <c r="S64" i="13"/>
  <c r="R64" i="13"/>
  <c r="Q64" i="13"/>
  <c r="P64" i="13"/>
  <c r="S53" i="13"/>
  <c r="R53" i="13"/>
  <c r="Q53" i="13"/>
  <c r="P53" i="13"/>
  <c r="S52" i="13"/>
  <c r="R52" i="13"/>
  <c r="Q52" i="13"/>
  <c r="P52" i="13"/>
  <c r="S51" i="13"/>
  <c r="R51" i="13"/>
  <c r="Q51" i="13"/>
  <c r="P51" i="13"/>
  <c r="S50" i="13"/>
  <c r="R50" i="13"/>
  <c r="Q50" i="13"/>
  <c r="P50" i="13"/>
  <c r="S49" i="13"/>
  <c r="R49" i="13"/>
  <c r="Q49" i="13"/>
  <c r="P49" i="13"/>
  <c r="S48" i="13"/>
  <c r="R48" i="13"/>
  <c r="Q48" i="13"/>
  <c r="P48" i="13"/>
  <c r="S47" i="13"/>
  <c r="R47" i="13"/>
  <c r="Q47" i="13"/>
  <c r="P47" i="13"/>
  <c r="S46" i="13"/>
  <c r="R46" i="13"/>
  <c r="Q46" i="13"/>
  <c r="P46" i="13"/>
  <c r="S35" i="13"/>
  <c r="R35" i="13"/>
  <c r="Q35" i="13"/>
  <c r="P35" i="13"/>
  <c r="S36" i="13"/>
  <c r="R36" i="13"/>
  <c r="Q36" i="13"/>
  <c r="P36" i="13"/>
  <c r="S37" i="13"/>
  <c r="R37" i="13"/>
  <c r="Q37" i="13"/>
  <c r="P37" i="13"/>
  <c r="S38" i="13"/>
  <c r="R38" i="13"/>
  <c r="Q38" i="13"/>
  <c r="P38" i="13"/>
  <c r="S39" i="13"/>
  <c r="R39" i="13"/>
  <c r="Q39" i="13"/>
  <c r="P39" i="13"/>
  <c r="S40" i="13"/>
  <c r="R40" i="13"/>
  <c r="Q40" i="13"/>
  <c r="P40" i="13"/>
  <c r="S41" i="13"/>
  <c r="R41" i="13"/>
  <c r="Q41" i="13"/>
  <c r="P41" i="13"/>
  <c r="S24" i="13"/>
  <c r="R24" i="13"/>
  <c r="Q24" i="13"/>
  <c r="P24" i="13"/>
  <c r="S25" i="13"/>
  <c r="R25" i="13"/>
  <c r="Q25" i="13"/>
  <c r="P25" i="13"/>
  <c r="S26" i="13"/>
  <c r="R26" i="13"/>
  <c r="Q26" i="13"/>
  <c r="P26" i="13"/>
  <c r="S27" i="13"/>
  <c r="R27" i="13"/>
  <c r="Q27" i="13"/>
  <c r="P27" i="13"/>
  <c r="S28" i="13"/>
  <c r="R28" i="13"/>
  <c r="Q28" i="13"/>
  <c r="P28" i="13"/>
  <c r="S29" i="13"/>
  <c r="R29" i="13"/>
  <c r="Q29" i="13"/>
  <c r="P29" i="13"/>
  <c r="S30" i="13"/>
  <c r="R30" i="13"/>
  <c r="Q30" i="13"/>
  <c r="P30" i="13"/>
  <c r="S13" i="13"/>
  <c r="R13" i="13"/>
  <c r="Q13" i="13"/>
  <c r="P13" i="13"/>
  <c r="S14" i="13"/>
  <c r="R14" i="13"/>
  <c r="Q14" i="13"/>
  <c r="P14" i="13"/>
  <c r="S15" i="13"/>
  <c r="R15" i="13"/>
  <c r="Q15" i="13"/>
  <c r="P15" i="13"/>
  <c r="S16" i="13"/>
  <c r="R16" i="13"/>
  <c r="Q16" i="13"/>
  <c r="P16" i="13"/>
  <c r="S17" i="13"/>
  <c r="R17" i="13"/>
  <c r="Q17" i="13"/>
  <c r="P17" i="13"/>
  <c r="S18" i="13"/>
  <c r="R18" i="13"/>
  <c r="Q18" i="13"/>
  <c r="P18" i="13"/>
  <c r="S19" i="13"/>
  <c r="R19" i="13"/>
  <c r="Q19" i="13"/>
  <c r="P19" i="13"/>
  <c r="S3" i="13"/>
  <c r="R3" i="13"/>
  <c r="Q3" i="13"/>
  <c r="P3" i="13"/>
  <c r="S4" i="13"/>
  <c r="R4" i="13"/>
  <c r="Q4" i="13"/>
  <c r="P4" i="13"/>
  <c r="S5" i="13"/>
  <c r="R5" i="13"/>
  <c r="Q5" i="13"/>
  <c r="P5" i="13"/>
  <c r="S6" i="13"/>
  <c r="R6" i="13"/>
  <c r="Q6" i="13"/>
  <c r="P6" i="13"/>
  <c r="S7" i="13"/>
  <c r="R7" i="13"/>
  <c r="Q7" i="13"/>
  <c r="P7" i="13"/>
  <c r="S8" i="13"/>
  <c r="R8" i="13"/>
  <c r="Q8" i="13"/>
  <c r="P8" i="13"/>
  <c r="S9" i="13"/>
  <c r="R9" i="13"/>
  <c r="Q9" i="13"/>
  <c r="P9" i="13"/>
  <c r="T64" i="13" l="1"/>
  <c r="T59" i="13"/>
  <c r="T63" i="13"/>
  <c r="T61" i="13"/>
  <c r="T40" i="13"/>
  <c r="T38" i="13"/>
  <c r="T36" i="13"/>
  <c r="T41" i="13"/>
  <c r="T30" i="13"/>
  <c r="T29" i="13"/>
  <c r="T27" i="13"/>
  <c r="T25" i="13"/>
  <c r="T18" i="13"/>
  <c r="T16" i="13"/>
  <c r="T9" i="13"/>
  <c r="T62" i="13"/>
  <c r="T60" i="13"/>
  <c r="T58" i="13"/>
  <c r="T49" i="13"/>
  <c r="T51" i="13"/>
  <c r="T53" i="13"/>
  <c r="T47" i="13"/>
  <c r="T46" i="13"/>
  <c r="T48" i="13"/>
  <c r="T50" i="13"/>
  <c r="T52" i="13"/>
  <c r="T39" i="13"/>
  <c r="T37" i="13"/>
  <c r="T35" i="13"/>
  <c r="T28" i="13"/>
  <c r="T26" i="13"/>
  <c r="T24" i="13"/>
  <c r="T13" i="13"/>
  <c r="T15" i="13"/>
  <c r="T19" i="13"/>
  <c r="T17" i="13"/>
  <c r="T14" i="13"/>
  <c r="T5" i="13"/>
  <c r="T7" i="13"/>
  <c r="T4" i="13"/>
  <c r="T8" i="13"/>
  <c r="T6" i="13"/>
  <c r="T3" i="13"/>
  <c r="S58" i="10"/>
  <c r="R58" i="10"/>
  <c r="Q58" i="10"/>
  <c r="P58" i="10"/>
  <c r="S59" i="10"/>
  <c r="R59" i="10"/>
  <c r="Q59" i="10"/>
  <c r="P59" i="10"/>
  <c r="S60" i="10"/>
  <c r="R60" i="10"/>
  <c r="Q60" i="10"/>
  <c r="P60" i="10"/>
  <c r="S61" i="10"/>
  <c r="R61" i="10"/>
  <c r="Q61" i="10"/>
  <c r="P61" i="10"/>
  <c r="S62" i="10"/>
  <c r="R62" i="10"/>
  <c r="Q62" i="10"/>
  <c r="P62" i="10"/>
  <c r="S63" i="10"/>
  <c r="R63" i="10"/>
  <c r="Q63" i="10"/>
  <c r="P63" i="10"/>
  <c r="S64" i="10"/>
  <c r="R64" i="10"/>
  <c r="Q64" i="10"/>
  <c r="P64" i="10"/>
  <c r="S53" i="10"/>
  <c r="R53" i="10"/>
  <c r="T53" i="10" s="1"/>
  <c r="Q53" i="10"/>
  <c r="P53" i="10"/>
  <c r="S52" i="10"/>
  <c r="R52" i="10"/>
  <c r="Q52" i="10"/>
  <c r="P52" i="10"/>
  <c r="S51" i="10"/>
  <c r="R51" i="10"/>
  <c r="T51" i="10" s="1"/>
  <c r="Q51" i="10"/>
  <c r="P51" i="10"/>
  <c r="S50" i="10"/>
  <c r="R50" i="10"/>
  <c r="Q50" i="10"/>
  <c r="P50" i="10"/>
  <c r="S49" i="10"/>
  <c r="R49" i="10"/>
  <c r="T49" i="10" s="1"/>
  <c r="Q49" i="10"/>
  <c r="P49" i="10"/>
  <c r="S48" i="10"/>
  <c r="R48" i="10"/>
  <c r="Q48" i="10"/>
  <c r="P48" i="10"/>
  <c r="S47" i="10"/>
  <c r="R47" i="10"/>
  <c r="T47" i="10" s="1"/>
  <c r="Q47" i="10"/>
  <c r="P47" i="10"/>
  <c r="S46" i="10"/>
  <c r="R46" i="10"/>
  <c r="Q46" i="10"/>
  <c r="P46" i="10"/>
  <c r="S35" i="10"/>
  <c r="R35" i="10"/>
  <c r="T35" i="10" s="1"/>
  <c r="Q35" i="10"/>
  <c r="P35" i="10"/>
  <c r="S36" i="10"/>
  <c r="R36" i="10"/>
  <c r="T36" i="10" s="1"/>
  <c r="Q36" i="10"/>
  <c r="P36" i="10"/>
  <c r="S37" i="10"/>
  <c r="R37" i="10"/>
  <c r="T37" i="10" s="1"/>
  <c r="Q37" i="10"/>
  <c r="P37" i="10"/>
  <c r="S38" i="10"/>
  <c r="R38" i="10"/>
  <c r="T38" i="10" s="1"/>
  <c r="Q38" i="10"/>
  <c r="P38" i="10"/>
  <c r="S39" i="10"/>
  <c r="R39" i="10"/>
  <c r="T39" i="10" s="1"/>
  <c r="Q39" i="10"/>
  <c r="P39" i="10"/>
  <c r="S40" i="10"/>
  <c r="R40" i="10"/>
  <c r="T40" i="10" s="1"/>
  <c r="Q40" i="10"/>
  <c r="P40" i="10"/>
  <c r="S41" i="10"/>
  <c r="R41" i="10"/>
  <c r="T41" i="10" s="1"/>
  <c r="Q41" i="10"/>
  <c r="P41" i="10"/>
  <c r="S24" i="10"/>
  <c r="R24" i="10"/>
  <c r="T24" i="10" s="1"/>
  <c r="Q24" i="10"/>
  <c r="P24" i="10"/>
  <c r="S25" i="10"/>
  <c r="R25" i="10"/>
  <c r="Q25" i="10"/>
  <c r="P25" i="10"/>
  <c r="S26" i="10"/>
  <c r="R26" i="10"/>
  <c r="T26" i="10" s="1"/>
  <c r="Q26" i="10"/>
  <c r="P26" i="10"/>
  <c r="S27" i="10"/>
  <c r="R27" i="10"/>
  <c r="Q27" i="10"/>
  <c r="P27" i="10"/>
  <c r="S28" i="10"/>
  <c r="R28" i="10"/>
  <c r="T28" i="10" s="1"/>
  <c r="Q28" i="10"/>
  <c r="P28" i="10"/>
  <c r="S29" i="10"/>
  <c r="R29" i="10"/>
  <c r="Q29" i="10"/>
  <c r="P29" i="10"/>
  <c r="S30" i="10"/>
  <c r="R30" i="10"/>
  <c r="T30" i="10" s="1"/>
  <c r="Q30" i="10"/>
  <c r="P30" i="10"/>
  <c r="S13" i="10"/>
  <c r="R13" i="10"/>
  <c r="Q13" i="10"/>
  <c r="P13" i="10"/>
  <c r="S14" i="10"/>
  <c r="R14" i="10"/>
  <c r="T14" i="10" s="1"/>
  <c r="Q14" i="10"/>
  <c r="P14" i="10"/>
  <c r="S15" i="10"/>
  <c r="R15" i="10"/>
  <c r="Q15" i="10"/>
  <c r="P15" i="10"/>
  <c r="S16" i="10"/>
  <c r="R16" i="10"/>
  <c r="T16" i="10" s="1"/>
  <c r="Q16" i="10"/>
  <c r="P16" i="10"/>
  <c r="S17" i="10"/>
  <c r="R17" i="10"/>
  <c r="Q17" i="10"/>
  <c r="P17" i="10"/>
  <c r="S18" i="10"/>
  <c r="R18" i="10"/>
  <c r="T18" i="10" s="1"/>
  <c r="Q18" i="10"/>
  <c r="P18" i="10"/>
  <c r="S19" i="10"/>
  <c r="R19" i="10"/>
  <c r="T19" i="10" s="1"/>
  <c r="Q19" i="10"/>
  <c r="P19" i="10"/>
  <c r="S3" i="10"/>
  <c r="R3" i="10"/>
  <c r="Q3" i="10"/>
  <c r="P3" i="10"/>
  <c r="S4" i="10"/>
  <c r="R4" i="10"/>
  <c r="Q4" i="10"/>
  <c r="P4" i="10"/>
  <c r="S5" i="10"/>
  <c r="R5" i="10"/>
  <c r="Q5" i="10"/>
  <c r="P5" i="10"/>
  <c r="S6" i="10"/>
  <c r="R6" i="10"/>
  <c r="Q6" i="10"/>
  <c r="P6" i="10"/>
  <c r="S7" i="10"/>
  <c r="R7" i="10"/>
  <c r="Q7" i="10"/>
  <c r="P7" i="10"/>
  <c r="S8" i="10"/>
  <c r="R8" i="10"/>
  <c r="Q8" i="10"/>
  <c r="P8" i="10"/>
  <c r="S9" i="10"/>
  <c r="R9" i="10"/>
  <c r="Q9" i="10"/>
  <c r="P9" i="10"/>
  <c r="T64" i="10" l="1"/>
  <c r="T60" i="10"/>
  <c r="T63" i="10"/>
  <c r="T61" i="10"/>
  <c r="T59" i="10"/>
  <c r="T62" i="10"/>
  <c r="T58" i="10"/>
  <c r="T46" i="10"/>
  <c r="T48" i="10"/>
  <c r="T50" i="10"/>
  <c r="T52" i="10"/>
  <c r="T29" i="10"/>
  <c r="T27" i="10"/>
  <c r="T25" i="10"/>
  <c r="T13" i="10"/>
  <c r="T15" i="10"/>
  <c r="T17" i="10"/>
  <c r="T3" i="10"/>
  <c r="T9" i="10"/>
  <c r="T7" i="10"/>
  <c r="T5" i="10"/>
  <c r="T8" i="10"/>
  <c r="T6" i="10"/>
  <c r="T4" i="10"/>
  <c r="S58" i="9"/>
  <c r="R58" i="9"/>
  <c r="Q58" i="9"/>
  <c r="P58" i="9"/>
  <c r="S59" i="9"/>
  <c r="R59" i="9"/>
  <c r="Q59" i="9"/>
  <c r="P59" i="9"/>
  <c r="S60" i="9"/>
  <c r="R60" i="9"/>
  <c r="Q60" i="9"/>
  <c r="P60" i="9"/>
  <c r="S61" i="9"/>
  <c r="R61" i="9"/>
  <c r="Q61" i="9"/>
  <c r="P61" i="9"/>
  <c r="S62" i="9"/>
  <c r="R62" i="9"/>
  <c r="Q62" i="9"/>
  <c r="P62" i="9"/>
  <c r="S63" i="9"/>
  <c r="R63" i="9"/>
  <c r="Q63" i="9"/>
  <c r="P63" i="9"/>
  <c r="S64" i="9"/>
  <c r="R64" i="9"/>
  <c r="Q64" i="9"/>
  <c r="P64" i="9"/>
  <c r="S53" i="9"/>
  <c r="R53" i="9"/>
  <c r="Q53" i="9"/>
  <c r="P53" i="9"/>
  <c r="S52" i="9"/>
  <c r="R52" i="9"/>
  <c r="Q52" i="9"/>
  <c r="P52" i="9"/>
  <c r="S51" i="9"/>
  <c r="R51" i="9"/>
  <c r="Q51" i="9"/>
  <c r="P51" i="9"/>
  <c r="S50" i="9"/>
  <c r="R50" i="9"/>
  <c r="Q50" i="9"/>
  <c r="P50" i="9"/>
  <c r="S49" i="9"/>
  <c r="R49" i="9"/>
  <c r="Q49" i="9"/>
  <c r="P49" i="9"/>
  <c r="S48" i="9"/>
  <c r="R48" i="9"/>
  <c r="Q48" i="9"/>
  <c r="P48" i="9"/>
  <c r="S47" i="9"/>
  <c r="R47" i="9"/>
  <c r="Q47" i="9"/>
  <c r="P47" i="9"/>
  <c r="S46" i="9"/>
  <c r="R46" i="9"/>
  <c r="Q46" i="9"/>
  <c r="P46" i="9"/>
  <c r="S35" i="9"/>
  <c r="R35" i="9"/>
  <c r="T35" i="9" s="1"/>
  <c r="Q35" i="9"/>
  <c r="P35" i="9"/>
  <c r="S36" i="9"/>
  <c r="R36" i="9"/>
  <c r="Q36" i="9"/>
  <c r="P36" i="9"/>
  <c r="S37" i="9"/>
  <c r="R37" i="9"/>
  <c r="T37" i="9" s="1"/>
  <c r="Q37" i="9"/>
  <c r="P37" i="9"/>
  <c r="S38" i="9"/>
  <c r="R38" i="9"/>
  <c r="T38" i="9" s="1"/>
  <c r="Q38" i="9"/>
  <c r="P38" i="9"/>
  <c r="S39" i="9"/>
  <c r="R39" i="9"/>
  <c r="T39" i="9" s="1"/>
  <c r="Q39" i="9"/>
  <c r="P39" i="9"/>
  <c r="S40" i="9"/>
  <c r="R40" i="9"/>
  <c r="T40" i="9" s="1"/>
  <c r="Q40" i="9"/>
  <c r="P40" i="9"/>
  <c r="S41" i="9"/>
  <c r="R41" i="9"/>
  <c r="T41" i="9" s="1"/>
  <c r="Q41" i="9"/>
  <c r="P41" i="9"/>
  <c r="S24" i="9"/>
  <c r="R24" i="9"/>
  <c r="Q24" i="9"/>
  <c r="P24" i="9"/>
  <c r="S25" i="9"/>
  <c r="R25" i="9"/>
  <c r="Q25" i="9"/>
  <c r="P25" i="9"/>
  <c r="S26" i="9"/>
  <c r="R26" i="9"/>
  <c r="Q26" i="9"/>
  <c r="P26" i="9"/>
  <c r="S27" i="9"/>
  <c r="R27" i="9"/>
  <c r="Q27" i="9"/>
  <c r="P27" i="9"/>
  <c r="S28" i="9"/>
  <c r="R28" i="9"/>
  <c r="Q28" i="9"/>
  <c r="P28" i="9"/>
  <c r="S29" i="9"/>
  <c r="R29" i="9"/>
  <c r="Q29" i="9"/>
  <c r="P29" i="9"/>
  <c r="S30" i="9"/>
  <c r="R30" i="9"/>
  <c r="Q30" i="9"/>
  <c r="P30" i="9"/>
  <c r="S13" i="9"/>
  <c r="R13" i="9"/>
  <c r="T13" i="9" s="1"/>
  <c r="Q13" i="9"/>
  <c r="P13" i="9"/>
  <c r="S14" i="9"/>
  <c r="R14" i="9"/>
  <c r="Q14" i="9"/>
  <c r="P14" i="9"/>
  <c r="S15" i="9"/>
  <c r="R15" i="9"/>
  <c r="T15" i="9" s="1"/>
  <c r="Q15" i="9"/>
  <c r="P15" i="9"/>
  <c r="S16" i="9"/>
  <c r="R16" i="9"/>
  <c r="Q16" i="9"/>
  <c r="P16" i="9"/>
  <c r="S17" i="9"/>
  <c r="R17" i="9"/>
  <c r="T17" i="9" s="1"/>
  <c r="Q17" i="9"/>
  <c r="P17" i="9"/>
  <c r="S18" i="9"/>
  <c r="R18" i="9"/>
  <c r="T18" i="9" s="1"/>
  <c r="Q18" i="9"/>
  <c r="P18" i="9"/>
  <c r="S19" i="9"/>
  <c r="R19" i="9"/>
  <c r="T19" i="9" s="1"/>
  <c r="Q19" i="9"/>
  <c r="P19" i="9"/>
  <c r="S3" i="9"/>
  <c r="R3" i="9"/>
  <c r="T3" i="9" s="1"/>
  <c r="Q3" i="9"/>
  <c r="P3" i="9"/>
  <c r="S4" i="9"/>
  <c r="R4" i="9"/>
  <c r="Q4" i="9"/>
  <c r="P4" i="9"/>
  <c r="S5" i="9"/>
  <c r="R5" i="9"/>
  <c r="T5" i="9" s="1"/>
  <c r="Q5" i="9"/>
  <c r="P5" i="9"/>
  <c r="S6" i="9"/>
  <c r="R6" i="9"/>
  <c r="Q6" i="9"/>
  <c r="P6" i="9"/>
  <c r="S7" i="9"/>
  <c r="R7" i="9"/>
  <c r="T7" i="9" s="1"/>
  <c r="Q7" i="9"/>
  <c r="P7" i="9"/>
  <c r="S8" i="9"/>
  <c r="R8" i="9"/>
  <c r="Q8" i="9"/>
  <c r="P8" i="9"/>
  <c r="S9" i="9"/>
  <c r="R9" i="9"/>
  <c r="T9" i="9" s="1"/>
  <c r="Q9" i="9"/>
  <c r="P9" i="9"/>
  <c r="Q35" i="3"/>
  <c r="R6" i="3"/>
  <c r="Q7" i="3"/>
  <c r="Q8" i="3"/>
  <c r="Q3" i="3"/>
  <c r="Q13" i="3"/>
  <c r="S58" i="3"/>
  <c r="R58" i="3"/>
  <c r="P58" i="3"/>
  <c r="Q58" i="3"/>
  <c r="S59" i="3"/>
  <c r="R59" i="3"/>
  <c r="T59" i="3" s="1"/>
  <c r="P59" i="3"/>
  <c r="Q59" i="3"/>
  <c r="S60" i="3"/>
  <c r="R60" i="3"/>
  <c r="P60" i="3"/>
  <c r="Q60" i="3"/>
  <c r="S61" i="3"/>
  <c r="R61" i="3"/>
  <c r="Q61" i="3"/>
  <c r="P61" i="3"/>
  <c r="S62" i="3"/>
  <c r="R62" i="3"/>
  <c r="Q62" i="3"/>
  <c r="P62" i="3"/>
  <c r="S63" i="3"/>
  <c r="R63" i="3"/>
  <c r="T63" i="3" s="1"/>
  <c r="P63" i="3"/>
  <c r="Q63" i="3"/>
  <c r="S64" i="3"/>
  <c r="R64" i="3"/>
  <c r="P64" i="3"/>
  <c r="Q64" i="3"/>
  <c r="S53" i="3"/>
  <c r="R53" i="3"/>
  <c r="P53" i="3"/>
  <c r="Q53" i="3"/>
  <c r="S52" i="3"/>
  <c r="R52" i="3"/>
  <c r="P52" i="3"/>
  <c r="Q52" i="3"/>
  <c r="S51" i="3"/>
  <c r="R51" i="3"/>
  <c r="P51" i="3"/>
  <c r="Q51" i="3"/>
  <c r="S50" i="3"/>
  <c r="R50" i="3"/>
  <c r="P50" i="3"/>
  <c r="Q50" i="3"/>
  <c r="S49" i="3"/>
  <c r="R49" i="3"/>
  <c r="P49" i="3"/>
  <c r="Q49" i="3"/>
  <c r="S48" i="3"/>
  <c r="R48" i="3"/>
  <c r="P48" i="3"/>
  <c r="Q48" i="3"/>
  <c r="S47" i="3"/>
  <c r="R47" i="3"/>
  <c r="P47" i="3"/>
  <c r="Q47" i="3"/>
  <c r="S46" i="3"/>
  <c r="R46" i="3"/>
  <c r="Q46" i="3"/>
  <c r="P46" i="3"/>
  <c r="S35" i="3"/>
  <c r="R35" i="3"/>
  <c r="T35" i="3" s="1"/>
  <c r="P35" i="3"/>
  <c r="S36" i="3"/>
  <c r="R36" i="3"/>
  <c r="T36" i="3" s="1"/>
  <c r="P36" i="3"/>
  <c r="Q36" i="3"/>
  <c r="S37" i="3"/>
  <c r="R37" i="3"/>
  <c r="Q37" i="3"/>
  <c r="P37" i="3"/>
  <c r="S38" i="3"/>
  <c r="R38" i="3"/>
  <c r="T38" i="3" s="1"/>
  <c r="P38" i="3"/>
  <c r="Q38" i="3"/>
  <c r="S39" i="3"/>
  <c r="R39" i="3"/>
  <c r="P39" i="3"/>
  <c r="Q39" i="3"/>
  <c r="S40" i="3"/>
  <c r="R40" i="3"/>
  <c r="T40" i="3" s="1"/>
  <c r="P40" i="3"/>
  <c r="Q40" i="3"/>
  <c r="S41" i="3"/>
  <c r="R41" i="3"/>
  <c r="T41" i="3" s="1"/>
  <c r="Q41" i="3"/>
  <c r="P41" i="3"/>
  <c r="S24" i="3"/>
  <c r="R24" i="3"/>
  <c r="T24" i="3" s="1"/>
  <c r="P24" i="3"/>
  <c r="Q24" i="3"/>
  <c r="S25" i="3"/>
  <c r="R25" i="3"/>
  <c r="P25" i="3"/>
  <c r="Q25" i="3"/>
  <c r="S26" i="3"/>
  <c r="R26" i="3"/>
  <c r="T26" i="3" s="1"/>
  <c r="Q26" i="3"/>
  <c r="P26" i="3"/>
  <c r="S27" i="3"/>
  <c r="R27" i="3"/>
  <c r="P27" i="3"/>
  <c r="Q27" i="3"/>
  <c r="S28" i="3"/>
  <c r="R28" i="3"/>
  <c r="T28" i="3" s="1"/>
  <c r="Q28" i="3"/>
  <c r="P28" i="3"/>
  <c r="S29" i="3"/>
  <c r="R29" i="3"/>
  <c r="P29" i="3"/>
  <c r="Q29" i="3"/>
  <c r="S30" i="3"/>
  <c r="R30" i="3"/>
  <c r="T30" i="3" s="1"/>
  <c r="P30" i="3"/>
  <c r="Q30" i="3"/>
  <c r="S13" i="3"/>
  <c r="R13" i="3"/>
  <c r="P13" i="3"/>
  <c r="S14" i="3"/>
  <c r="R14" i="3"/>
  <c r="Q14" i="3"/>
  <c r="P14" i="3"/>
  <c r="S15" i="3"/>
  <c r="R15" i="3"/>
  <c r="T15" i="3" s="1"/>
  <c r="P15" i="3"/>
  <c r="Q15" i="3"/>
  <c r="S16" i="3"/>
  <c r="R16" i="3"/>
  <c r="P16" i="3"/>
  <c r="Q16" i="3"/>
  <c r="S17" i="3"/>
  <c r="R17" i="3"/>
  <c r="T17" i="3" s="1"/>
  <c r="Q17" i="3"/>
  <c r="P17" i="3"/>
  <c r="S18" i="3"/>
  <c r="R18" i="3"/>
  <c r="P18" i="3"/>
  <c r="Q18" i="3"/>
  <c r="S19" i="3"/>
  <c r="R19" i="3"/>
  <c r="T19" i="3" s="1"/>
  <c r="Q19" i="3"/>
  <c r="P19" i="3"/>
  <c r="S3" i="3"/>
  <c r="R3" i="3"/>
  <c r="P3" i="3"/>
  <c r="S4" i="3"/>
  <c r="R4" i="3"/>
  <c r="Q4" i="3"/>
  <c r="P4" i="3"/>
  <c r="S5" i="3"/>
  <c r="R5" i="3"/>
  <c r="Q5" i="3"/>
  <c r="P5" i="3"/>
  <c r="S6" i="3"/>
  <c r="Q6" i="3"/>
  <c r="P6" i="3"/>
  <c r="S7" i="3"/>
  <c r="R7" i="3"/>
  <c r="T7" i="3" s="1"/>
  <c r="P7" i="3"/>
  <c r="S8" i="3"/>
  <c r="R8" i="3"/>
  <c r="P8" i="3"/>
  <c r="S9" i="3"/>
  <c r="R9" i="3"/>
  <c r="Q9" i="3"/>
  <c r="P9" i="3"/>
  <c r="T64" i="9" l="1"/>
  <c r="T62" i="9"/>
  <c r="T60" i="9"/>
  <c r="T58" i="9"/>
  <c r="T63" i="9"/>
  <c r="T61" i="9"/>
  <c r="T59" i="9"/>
  <c r="T51" i="9"/>
  <c r="T47" i="9"/>
  <c r="T49" i="9"/>
  <c r="T46" i="9"/>
  <c r="T48" i="9"/>
  <c r="T50" i="9"/>
  <c r="T52" i="9"/>
  <c r="T53" i="9"/>
  <c r="T36" i="9"/>
  <c r="T29" i="9"/>
  <c r="T27" i="9"/>
  <c r="T25" i="9"/>
  <c r="T30" i="9"/>
  <c r="T28" i="9"/>
  <c r="T26" i="9"/>
  <c r="T24" i="9"/>
  <c r="T16" i="9"/>
  <c r="T14" i="9"/>
  <c r="T8" i="9"/>
  <c r="T6" i="9"/>
  <c r="T4" i="9"/>
  <c r="T61" i="3"/>
  <c r="T64" i="3"/>
  <c r="T62" i="3"/>
  <c r="T60" i="3"/>
  <c r="T58" i="3"/>
  <c r="T47" i="3"/>
  <c r="T49" i="3"/>
  <c r="T51" i="3"/>
  <c r="T53" i="3"/>
  <c r="T46" i="3"/>
  <c r="T48" i="3"/>
  <c r="T50" i="3"/>
  <c r="T52" i="3"/>
  <c r="T39" i="3"/>
  <c r="T37" i="3"/>
  <c r="T29" i="3"/>
  <c r="T25" i="3"/>
  <c r="T27" i="3"/>
  <c r="T13" i="3"/>
  <c r="T18" i="3"/>
  <c r="T16" i="3"/>
  <c r="T14" i="3"/>
  <c r="T6" i="3"/>
  <c r="T4" i="3"/>
  <c r="T8" i="3"/>
  <c r="T9" i="3"/>
  <c r="T3" i="3"/>
  <c r="T5" i="3"/>
  <c r="R53" i="1"/>
  <c r="S53" i="1"/>
  <c r="S64" i="1"/>
  <c r="R64" i="1"/>
  <c r="T64" i="1" s="1"/>
  <c r="S63" i="1"/>
  <c r="R63" i="1"/>
  <c r="T63" i="1" s="1"/>
  <c r="S62" i="1"/>
  <c r="R62" i="1"/>
  <c r="S61" i="1"/>
  <c r="R61" i="1"/>
  <c r="S60" i="1"/>
  <c r="R60" i="1"/>
  <c r="T60" i="1" s="1"/>
  <c r="S59" i="1"/>
  <c r="R59" i="1"/>
  <c r="S58" i="1"/>
  <c r="R58" i="1"/>
  <c r="S52" i="1"/>
  <c r="R52" i="1"/>
  <c r="T52" i="1" s="1"/>
  <c r="S51" i="1"/>
  <c r="R51" i="1"/>
  <c r="S50" i="1"/>
  <c r="R50" i="1"/>
  <c r="T50" i="1" s="1"/>
  <c r="S49" i="1"/>
  <c r="R49" i="1"/>
  <c r="T49" i="1" s="1"/>
  <c r="S48" i="1"/>
  <c r="R48" i="1"/>
  <c r="T48" i="1" s="1"/>
  <c r="S47" i="1"/>
  <c r="R47" i="1"/>
  <c r="S46" i="1"/>
  <c r="R46" i="1"/>
  <c r="T46" i="1" s="1"/>
  <c r="S41" i="1"/>
  <c r="R41" i="1"/>
  <c r="S40" i="1"/>
  <c r="R40" i="1"/>
  <c r="S39" i="1"/>
  <c r="R39" i="1"/>
  <c r="T39" i="1" s="1"/>
  <c r="S38" i="1"/>
  <c r="R38" i="1"/>
  <c r="T38" i="1" s="1"/>
  <c r="S37" i="1"/>
  <c r="R37" i="1"/>
  <c r="S36" i="1"/>
  <c r="R36" i="1"/>
  <c r="S35" i="1"/>
  <c r="R35" i="1"/>
  <c r="T35" i="1" s="1"/>
  <c r="S30" i="1"/>
  <c r="R30" i="1"/>
  <c r="S29" i="1"/>
  <c r="R29" i="1"/>
  <c r="S28" i="1"/>
  <c r="R28" i="1"/>
  <c r="T28" i="1" s="1"/>
  <c r="S27" i="1"/>
  <c r="R27" i="1"/>
  <c r="S26" i="1"/>
  <c r="R26" i="1"/>
  <c r="T26" i="1" s="1"/>
  <c r="S25" i="1"/>
  <c r="R25" i="1"/>
  <c r="T25" i="1" s="1"/>
  <c r="S24" i="1"/>
  <c r="R24" i="1"/>
  <c r="S19" i="1"/>
  <c r="R19" i="1"/>
  <c r="T19" i="1" s="1"/>
  <c r="S18" i="1"/>
  <c r="R18" i="1"/>
  <c r="T18" i="1" s="1"/>
  <c r="S17" i="1"/>
  <c r="R17" i="1"/>
  <c r="S16" i="1"/>
  <c r="R16" i="1"/>
  <c r="S15" i="1"/>
  <c r="R15" i="1"/>
  <c r="S14" i="1"/>
  <c r="R14" i="1"/>
  <c r="T14" i="1" s="1"/>
  <c r="S13" i="1"/>
  <c r="R13" i="1"/>
  <c r="R4" i="1"/>
  <c r="S4" i="1"/>
  <c r="R5" i="1"/>
  <c r="S5" i="1"/>
  <c r="R6" i="1"/>
  <c r="S6" i="1"/>
  <c r="R7" i="1"/>
  <c r="S7" i="1"/>
  <c r="R8" i="1"/>
  <c r="S8" i="1"/>
  <c r="R9" i="1"/>
  <c r="S9" i="1"/>
  <c r="S3" i="1"/>
  <c r="R3" i="1"/>
  <c r="T3" i="1" s="1"/>
  <c r="P53" i="1"/>
  <c r="Q64" i="1"/>
  <c r="P64" i="1"/>
  <c r="P63" i="1"/>
  <c r="P62" i="1"/>
  <c r="P61" i="1"/>
  <c r="P60" i="1"/>
  <c r="P59" i="1"/>
  <c r="P58" i="1"/>
  <c r="Q52" i="1"/>
  <c r="P52" i="1"/>
  <c r="P51" i="1"/>
  <c r="P50" i="1"/>
  <c r="P49" i="1"/>
  <c r="P48" i="1"/>
  <c r="P47" i="1"/>
  <c r="P46" i="1"/>
  <c r="P35" i="1"/>
  <c r="P36" i="1"/>
  <c r="P37" i="1"/>
  <c r="P38" i="1"/>
  <c r="P39" i="1"/>
  <c r="P40" i="1"/>
  <c r="P41" i="1"/>
  <c r="P30" i="1"/>
  <c r="P29" i="1"/>
  <c r="P28" i="1"/>
  <c r="Q27" i="1"/>
  <c r="P27" i="1"/>
  <c r="P26" i="1"/>
  <c r="P25" i="1"/>
  <c r="P24" i="1"/>
  <c r="P19" i="1"/>
  <c r="P18" i="1"/>
  <c r="P17" i="1"/>
  <c r="Q16" i="1"/>
  <c r="P16" i="1"/>
  <c r="P15" i="1"/>
  <c r="P14" i="1"/>
  <c r="P13" i="1"/>
  <c r="P4" i="1"/>
  <c r="P5" i="1"/>
  <c r="P6" i="1"/>
  <c r="P7" i="1"/>
  <c r="P8" i="1"/>
  <c r="P9" i="1"/>
  <c r="P3" i="1"/>
  <c r="Q63" i="1"/>
  <c r="Q61" i="1"/>
  <c r="Q59" i="1"/>
  <c r="Q62" i="1"/>
  <c r="Q60" i="1"/>
  <c r="Q58" i="1"/>
  <c r="Q53" i="1"/>
  <c r="Q51" i="1"/>
  <c r="Q50" i="1"/>
  <c r="Q49" i="1"/>
  <c r="Q48" i="1"/>
  <c r="Q47" i="1"/>
  <c r="Q46" i="1"/>
  <c r="Q41" i="1"/>
  <c r="Q40" i="1"/>
  <c r="Q39" i="1"/>
  <c r="Q38" i="1"/>
  <c r="Q37" i="1"/>
  <c r="Q36" i="1"/>
  <c r="Q35" i="1"/>
  <c r="Q29" i="1"/>
  <c r="Q25" i="1"/>
  <c r="Q30" i="1"/>
  <c r="Q28" i="1"/>
  <c r="Q26" i="1"/>
  <c r="Q24" i="1"/>
  <c r="Q18" i="1"/>
  <c r="Q14" i="1"/>
  <c r="Q19" i="1"/>
  <c r="Q17" i="1"/>
  <c r="Q15" i="1"/>
  <c r="Q13" i="1"/>
  <c r="Q5" i="1"/>
  <c r="Q7" i="1"/>
  <c r="Q9" i="1"/>
  <c r="Q4" i="1"/>
  <c r="Q6" i="1"/>
  <c r="Q8" i="1"/>
  <c r="Q3" i="1"/>
  <c r="T61" i="1" l="1"/>
  <c r="T58" i="1"/>
  <c r="T62" i="1"/>
  <c r="T59" i="1"/>
  <c r="T51" i="1"/>
  <c r="T47" i="1"/>
  <c r="T53" i="1"/>
  <c r="T36" i="1"/>
  <c r="T40" i="1"/>
  <c r="T37" i="1"/>
  <c r="T41" i="1"/>
  <c r="T30" i="1"/>
  <c r="T27" i="1"/>
  <c r="T29" i="1"/>
  <c r="T24" i="1"/>
  <c r="T16" i="1"/>
  <c r="T15" i="1"/>
  <c r="T13" i="1"/>
  <c r="T17" i="1"/>
  <c r="T6" i="1"/>
  <c r="T4" i="1"/>
  <c r="T7" i="1"/>
  <c r="T5" i="1"/>
  <c r="T9" i="1"/>
  <c r="T8" i="1"/>
</calcChain>
</file>

<file path=xl/sharedStrings.xml><?xml version="1.0" encoding="utf-8"?>
<sst xmlns="http://schemas.openxmlformats.org/spreadsheetml/2006/main" count="1011" uniqueCount="63">
  <si>
    <t>Error_Bound</t>
  </si>
  <si>
    <t>CR</t>
  </si>
  <si>
    <t>BR</t>
  </si>
  <si>
    <t>PSNR</t>
  </si>
  <si>
    <t>NRMSE</t>
  </si>
  <si>
    <t>cmp_cTP</t>
  </si>
  <si>
    <t>cmp_xTP</t>
  </si>
  <si>
    <t>nsys_cmp_cTP</t>
  </si>
  <si>
    <t>nsys_cmp_xTP</t>
  </si>
  <si>
    <t>nvcomp_CR</t>
  </si>
  <si>
    <t>nvcomp_cTP</t>
  </si>
  <si>
    <t>nvcomp_xTP</t>
  </si>
  <si>
    <t>bitcomp_CR</t>
  </si>
  <si>
    <t>bitcomp_cTP</t>
  </si>
  <si>
    <t>bitcomp_xTP</t>
  </si>
  <si>
    <t>CuSZ</t>
    <phoneticPr fontId="1" type="noConversion"/>
  </si>
  <si>
    <t>CuSZ-I</t>
    <phoneticPr fontId="1" type="noConversion"/>
  </si>
  <si>
    <t>CuSZp</t>
    <phoneticPr fontId="1" type="noConversion"/>
  </si>
  <si>
    <t>CuSZx</t>
    <phoneticPr fontId="1" type="noConversion"/>
  </si>
  <si>
    <t>Bit_Rate</t>
  </si>
  <si>
    <t>FZ-GPU</t>
    <phoneticPr fontId="1" type="noConversion"/>
  </si>
  <si>
    <t>bitcomped_CR</t>
    <phoneticPr fontId="1" type="noConversion"/>
  </si>
  <si>
    <t>bitcomped_BR</t>
    <phoneticPr fontId="1" type="noConversion"/>
  </si>
  <si>
    <t>Bitcomped_cmp_Speed</t>
    <phoneticPr fontId="1" type="noConversion"/>
  </si>
  <si>
    <t>Bitcomped_dcmp_Speed</t>
    <phoneticPr fontId="1" type="noConversion"/>
  </si>
  <si>
    <t>fzgpu_miranda_theta.csv</t>
    <phoneticPr fontId="1" type="noConversion"/>
  </si>
  <si>
    <t>Dataset</t>
    <phoneticPr fontId="1" type="noConversion"/>
  </si>
  <si>
    <t>epsilon</t>
    <phoneticPr fontId="1" type="noConversion"/>
  </si>
  <si>
    <t>Improve</t>
    <phoneticPr fontId="1" type="noConversion"/>
  </si>
  <si>
    <t>(%)</t>
    <phoneticPr fontId="1" type="noConversion"/>
  </si>
  <si>
    <t>RTM</t>
    <phoneticPr fontId="1" type="noConversion"/>
  </si>
  <si>
    <t>1E-2</t>
    <phoneticPr fontId="1" type="noConversion"/>
  </si>
  <si>
    <t>1E-3</t>
    <phoneticPr fontId="1" type="noConversion"/>
  </si>
  <si>
    <t>1E-4</t>
    <phoneticPr fontId="1" type="noConversion"/>
  </si>
  <si>
    <t>MIRANDA</t>
    <phoneticPr fontId="1" type="noConversion"/>
  </si>
  <si>
    <t>NYX</t>
    <phoneticPr fontId="1" type="noConversion"/>
  </si>
  <si>
    <t>JHTDB</t>
    <phoneticPr fontId="1" type="noConversion"/>
  </si>
  <si>
    <t>QMCPACK</t>
    <phoneticPr fontId="1" type="noConversion"/>
  </si>
  <si>
    <t>S3D</t>
    <phoneticPr fontId="1" type="noConversion"/>
  </si>
  <si>
    <t>No-BC</t>
    <phoneticPr fontId="1" type="noConversion"/>
  </si>
  <si>
    <t>BC</t>
    <phoneticPr fontId="1" type="noConversion"/>
  </si>
  <si>
    <t>FZ-GPU_Bit rate</t>
    <phoneticPr fontId="1" type="noConversion"/>
  </si>
  <si>
    <t>FZ-GPU_PSNR</t>
    <phoneticPr fontId="1" type="noConversion"/>
  </si>
  <si>
    <t>NOBC</t>
    <phoneticPr fontId="1" type="noConversion"/>
  </si>
  <si>
    <t>DataSize (G)</t>
    <phoneticPr fontId="1" type="noConversion"/>
  </si>
  <si>
    <t>Transfer Speed (G/s)</t>
    <phoneticPr fontId="1" type="noConversion"/>
  </si>
  <si>
    <t>Parallel Transfer Time</t>
    <phoneticPr fontId="1" type="noConversion"/>
  </si>
  <si>
    <t>BC_Time</t>
    <phoneticPr fontId="1" type="noConversion"/>
  </si>
  <si>
    <t>cuSZ</t>
  </si>
  <si>
    <t>cuSZ-I</t>
  </si>
  <si>
    <t>cuSZp</t>
  </si>
  <si>
    <t>cuSZx</t>
  </si>
  <si>
    <t>cuZFP</t>
  </si>
  <si>
    <t>cuSZ_Bit rate</t>
  </si>
  <si>
    <t>cuSZ_PSNR</t>
  </si>
  <si>
    <t>cuSZp_Bit rate</t>
  </si>
  <si>
    <t>cuSZp_PSNR</t>
  </si>
  <si>
    <t>cuSZx_Bit rate</t>
  </si>
  <si>
    <t>cuSZx_PSNR</t>
  </si>
  <si>
    <t>cuZFP_Bit rate</t>
  </si>
  <si>
    <t>cuZFP_PSNR</t>
  </si>
  <si>
    <t>cuSZ-I_Bit rate</t>
  </si>
  <si>
    <t>cuSZ-I_PSNR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</si>
</sst>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sz val="11"/>
      <color rgb="FF000000"/>
      <name val="Calibri"/>
      <family val="4"/>
      <charset val="134"/>
      <scheme val="minor"/>
    </font>
    <font>
      <b/>
      <sz val="10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4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11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27487776899178E-2"/>
          <c:y val="7.6631770596267634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miranda!$C$3:$C$9</c:f>
              <c:numCache>
                <c:formatCode>General</c:formatCode>
                <c:ptCount val="7"/>
                <c:pt idx="0">
                  <c:v>1.17263417762358</c:v>
                </c:pt>
                <c:pt idx="1">
                  <c:v>1.2177094970865101</c:v>
                </c:pt>
                <c:pt idx="2">
                  <c:v>1.3893527065314899</c:v>
                </c:pt>
                <c:pt idx="3">
                  <c:v>1.5244800743789</c:v>
                </c:pt>
                <c:pt idx="4">
                  <c:v>2.0839770969446598</c:v>
                </c:pt>
                <c:pt idx="5">
                  <c:v>2.4310472307225401</c:v>
                </c:pt>
                <c:pt idx="6">
                  <c:v>3.4984244614583702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7-4D5D-918A-C9BFE31CB9A1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miranda!$C$13:$C$19</c:f>
              <c:numCache>
                <c:formatCode>General</c:formatCode>
                <c:ptCount val="7"/>
                <c:pt idx="0">
                  <c:v>1.11765434161829</c:v>
                </c:pt>
                <c:pt idx="1">
                  <c:v>1.13065738438875</c:v>
                </c:pt>
                <c:pt idx="2">
                  <c:v>1.21136970867548</c:v>
                </c:pt>
                <c:pt idx="3">
                  <c:v>1.2841617653638799</c:v>
                </c:pt>
                <c:pt idx="4">
                  <c:v>1.6315347681157699</c:v>
                </c:pt>
                <c:pt idx="5">
                  <c:v>1.8663909735219599</c:v>
                </c:pt>
                <c:pt idx="6">
                  <c:v>2.6481373766662801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7-4D5D-918A-C9BFE31CB9A1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miranda!$C$24:$C$30</c:f>
              <c:numCache>
                <c:formatCode>General</c:formatCode>
                <c:ptCount val="7"/>
                <c:pt idx="0">
                  <c:v>1.9103792712588501</c:v>
                </c:pt>
                <c:pt idx="1">
                  <c:v>2.2803563038579</c:v>
                </c:pt>
                <c:pt idx="2">
                  <c:v>3.3480942140372201</c:v>
                </c:pt>
                <c:pt idx="3">
                  <c:v>3.9114691005098399</c:v>
                </c:pt>
                <c:pt idx="4">
                  <c:v>5.3522163762285597</c:v>
                </c:pt>
                <c:pt idx="5">
                  <c:v>5.9982205538778199</c:v>
                </c:pt>
                <c:pt idx="6">
                  <c:v>7.5955360002586998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7-4D5D-918A-C9BFE31CB9A1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miranda!$C$35:$C$39</c:f>
              <c:numCache>
                <c:formatCode>General</c:formatCode>
                <c:ptCount val="5"/>
                <c:pt idx="0">
                  <c:v>4.0422399271318996</c:v>
                </c:pt>
                <c:pt idx="1">
                  <c:v>4.6820880646894301</c:v>
                </c:pt>
                <c:pt idx="2">
                  <c:v>6.2939303683351104</c:v>
                </c:pt>
                <c:pt idx="3">
                  <c:v>7.0641485686101602</c:v>
                </c:pt>
                <c:pt idx="4">
                  <c:v>8.8989270122028099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7-4D5D-918A-C9BFE31CB9A1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B7-4D5D-918A-C9BFE31CB9A1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miranda!$C$58:$C$64</c:f>
              <c:numCache>
                <c:formatCode>General</c:formatCode>
                <c:ptCount val="7"/>
                <c:pt idx="0">
                  <c:v>1.0459570396751601</c:v>
                </c:pt>
                <c:pt idx="1">
                  <c:v>1.1834552202848201</c:v>
                </c:pt>
                <c:pt idx="2">
                  <c:v>1.66768102467137</c:v>
                </c:pt>
                <c:pt idx="3">
                  <c:v>1.95040600390107</c:v>
                </c:pt>
                <c:pt idx="4">
                  <c:v>2.7126532758184898</c:v>
                </c:pt>
                <c:pt idx="5">
                  <c:v>3.05889308761199</c:v>
                </c:pt>
                <c:pt idx="6">
                  <c:v>3.91604770516114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9.1117395795495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7-4D5D-918A-C9BFE31C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miranda!$H$3:$H$9</c:f>
              <c:numCache>
                <c:formatCode>General</c:formatCode>
                <c:ptCount val="7"/>
                <c:pt idx="0">
                  <c:v>57.0156799560812</c:v>
                </c:pt>
                <c:pt idx="1">
                  <c:v>56.877427930287404</c:v>
                </c:pt>
                <c:pt idx="2">
                  <c:v>56.539176820724599</c:v>
                </c:pt>
                <c:pt idx="3">
                  <c:v>56.279964430779501</c:v>
                </c:pt>
                <c:pt idx="4">
                  <c:v>55.226851576892898</c:v>
                </c:pt>
                <c:pt idx="5">
                  <c:v>54.626183422675901</c:v>
                </c:pt>
                <c:pt idx="6">
                  <c:v>53.298686275332898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C-4F7E-8149-56171A6DF585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miranda!$H$13:$H$19</c:f>
              <c:numCache>
                <c:formatCode>General</c:formatCode>
                <c:ptCount val="7"/>
                <c:pt idx="0">
                  <c:v>42.359295931470299</c:v>
                </c:pt>
                <c:pt idx="1">
                  <c:v>42.339306701064402</c:v>
                </c:pt>
                <c:pt idx="2">
                  <c:v>42.114783068663201</c:v>
                </c:pt>
                <c:pt idx="3">
                  <c:v>42.183657455317999</c:v>
                </c:pt>
                <c:pt idx="4">
                  <c:v>41.591885730808997</c:v>
                </c:pt>
                <c:pt idx="5">
                  <c:v>41.303382694768104</c:v>
                </c:pt>
                <c:pt idx="6">
                  <c:v>40.832020203589799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C-4F7E-8149-56171A6DF585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miranda!$H$24:$H$30</c:f>
              <c:numCache>
                <c:formatCode>General</c:formatCode>
                <c:ptCount val="7"/>
                <c:pt idx="0">
                  <c:v>78.542737924404193</c:v>
                </c:pt>
                <c:pt idx="1">
                  <c:v>76.315734725433003</c:v>
                </c:pt>
                <c:pt idx="2">
                  <c:v>71.318031144006298</c:v>
                </c:pt>
                <c:pt idx="3">
                  <c:v>69.036005254114201</c:v>
                </c:pt>
                <c:pt idx="4">
                  <c:v>63.4120428367725</c:v>
                </c:pt>
                <c:pt idx="5">
                  <c:v>61.1397510914029</c:v>
                </c:pt>
                <c:pt idx="6">
                  <c:v>56.068376044996597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1C-4F7E-8149-56171A6DF585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miranda!$H$35:$H$41</c:f>
              <c:numCache>
                <c:formatCode>General</c:formatCode>
                <c:ptCount val="7"/>
                <c:pt idx="0">
                  <c:v>214.67417172962399</c:v>
                </c:pt>
                <c:pt idx="1">
                  <c:v>207.53225962328</c:v>
                </c:pt>
                <c:pt idx="2">
                  <c:v>193.97950803005301</c:v>
                </c:pt>
                <c:pt idx="3">
                  <c:v>190.13859453715</c:v>
                </c:pt>
                <c:pt idx="4">
                  <c:v>185.42808536730001</c:v>
                </c:pt>
                <c:pt idx="5">
                  <c:v>183.80242472469499</c:v>
                </c:pt>
                <c:pt idx="6">
                  <c:v>179.02875910746201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C-4F7E-8149-56171A6DF585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miranda!$H$47:$H$53</c:f>
              <c:numCache>
                <c:formatCode>General</c:formatCode>
                <c:ptCount val="7"/>
                <c:pt idx="0">
                  <c:v>357.38641383079403</c:v>
                </c:pt>
                <c:pt idx="1">
                  <c:v>251.080695377501</c:v>
                </c:pt>
                <c:pt idx="2">
                  <c:v>129.28630093283601</c:v>
                </c:pt>
                <c:pt idx="3">
                  <c:v>107.933495966764</c:v>
                </c:pt>
                <c:pt idx="4">
                  <c:v>91.683312808133294</c:v>
                </c:pt>
                <c:pt idx="5">
                  <c:v>59.435567911154202</c:v>
                </c:pt>
                <c:pt idx="6">
                  <c:v>34.8045687443148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1C-4F7E-8149-56171A6DF585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miranda!$H$58:$H$64</c:f>
              <c:numCache>
                <c:formatCode>General</c:formatCode>
                <c:ptCount val="7"/>
                <c:pt idx="0">
                  <c:v>80.272837517449403</c:v>
                </c:pt>
                <c:pt idx="1">
                  <c:v>80.286158996895693</c:v>
                </c:pt>
                <c:pt idx="2">
                  <c:v>80.193329575798799</c:v>
                </c:pt>
                <c:pt idx="3">
                  <c:v>80.1893553913565</c:v>
                </c:pt>
                <c:pt idx="4">
                  <c:v>80.1538768350688</c:v>
                </c:pt>
                <c:pt idx="5">
                  <c:v>80.158191201210101</c:v>
                </c:pt>
                <c:pt idx="6">
                  <c:v>80.082617390947107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1C-4F7E-8149-56171A6D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miranda!$I$3:$I$9</c:f>
              <c:numCache>
                <c:formatCode>General</c:formatCode>
                <c:ptCount val="7"/>
                <c:pt idx="0">
                  <c:v>52.511799919160701</c:v>
                </c:pt>
                <c:pt idx="1">
                  <c:v>51.513775615140503</c:v>
                </c:pt>
                <c:pt idx="2">
                  <c:v>43.429334132596203</c:v>
                </c:pt>
                <c:pt idx="3">
                  <c:v>40.801776589456303</c:v>
                </c:pt>
                <c:pt idx="4">
                  <c:v>35.2625023289214</c:v>
                </c:pt>
                <c:pt idx="5">
                  <c:v>33.683458310580598</c:v>
                </c:pt>
                <c:pt idx="6">
                  <c:v>31.634132144643999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7-48EA-837D-C8AA16C2DD0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miranda!$I$13:$I$19</c:f>
              <c:numCache>
                <c:formatCode>General</c:formatCode>
                <c:ptCount val="7"/>
                <c:pt idx="0">
                  <c:v>46.8773275786101</c:v>
                </c:pt>
                <c:pt idx="1">
                  <c:v>45.816941204048298</c:v>
                </c:pt>
                <c:pt idx="2">
                  <c:v>42.657933795553603</c:v>
                </c:pt>
                <c:pt idx="3">
                  <c:v>41.442287986530701</c:v>
                </c:pt>
                <c:pt idx="4">
                  <c:v>37.032310702594501</c:v>
                </c:pt>
                <c:pt idx="5">
                  <c:v>35.071104450171397</c:v>
                </c:pt>
                <c:pt idx="6">
                  <c:v>31.459963186947601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7-48EA-837D-C8AA16C2DD0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miranda!$I$24:$I$30</c:f>
              <c:numCache>
                <c:formatCode>General</c:formatCode>
                <c:ptCount val="7"/>
                <c:pt idx="0">
                  <c:v>142.89416045166399</c:v>
                </c:pt>
                <c:pt idx="1">
                  <c:v>125.81544862261801</c:v>
                </c:pt>
                <c:pt idx="2">
                  <c:v>95.186850938056594</c:v>
                </c:pt>
                <c:pt idx="3">
                  <c:v>86.264062850825795</c:v>
                </c:pt>
                <c:pt idx="4">
                  <c:v>70.985727720318593</c:v>
                </c:pt>
                <c:pt idx="5">
                  <c:v>65.929753056578093</c:v>
                </c:pt>
                <c:pt idx="6">
                  <c:v>56.885404616530302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7-48EA-837D-C8AA16C2DD0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miranda!$I$35:$I$41</c:f>
              <c:numCache>
                <c:formatCode>General</c:formatCode>
                <c:ptCount val="7"/>
                <c:pt idx="0">
                  <c:v>453.82084247936803</c:v>
                </c:pt>
                <c:pt idx="1">
                  <c:v>411.20594362348498</c:v>
                </c:pt>
                <c:pt idx="2">
                  <c:v>350.65223520206399</c:v>
                </c:pt>
                <c:pt idx="3">
                  <c:v>329.17804233536799</c:v>
                </c:pt>
                <c:pt idx="4">
                  <c:v>304.30139514703399</c:v>
                </c:pt>
                <c:pt idx="5">
                  <c:v>296.91032068180402</c:v>
                </c:pt>
                <c:pt idx="6">
                  <c:v>268.99129865530199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27-48EA-837D-C8AA16C2DD0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miranda!$I$47:$I$53</c:f>
              <c:numCache>
                <c:formatCode>General</c:formatCode>
                <c:ptCount val="7"/>
                <c:pt idx="0">
                  <c:v>412.63749985193198</c:v>
                </c:pt>
                <c:pt idx="1">
                  <c:v>305.32159327100402</c:v>
                </c:pt>
                <c:pt idx="2">
                  <c:v>232.72953242360299</c:v>
                </c:pt>
                <c:pt idx="3">
                  <c:v>200.80423889338999</c:v>
                </c:pt>
                <c:pt idx="4">
                  <c:v>180.67913244931</c:v>
                </c:pt>
                <c:pt idx="5">
                  <c:v>160.386233535803</c:v>
                </c:pt>
                <c:pt idx="6">
                  <c:v>151.69779641211599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7-48EA-837D-C8AA16C2DD0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miranda!$I$58:$I$64</c:f>
              <c:numCache>
                <c:formatCode>General</c:formatCode>
                <c:ptCount val="7"/>
                <c:pt idx="0">
                  <c:v>85.615210784269294</c:v>
                </c:pt>
                <c:pt idx="1">
                  <c:v>85.497579423823097</c:v>
                </c:pt>
                <c:pt idx="2">
                  <c:v>85.022118367758196</c:v>
                </c:pt>
                <c:pt idx="3">
                  <c:v>84.851678843958396</c:v>
                </c:pt>
                <c:pt idx="4">
                  <c:v>84.670976935045601</c:v>
                </c:pt>
                <c:pt idx="5">
                  <c:v>84.5945619902392</c:v>
                </c:pt>
                <c:pt idx="6">
                  <c:v>84.471350338018297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27-48EA-837D-C8AA16C2D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2236796118501E-2"/>
          <c:y val="3.7552061198470044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miranda!$Q$3:$Q$9</c:f>
              <c:numCache>
                <c:formatCode>General</c:formatCode>
                <c:ptCount val="7"/>
                <c:pt idx="0">
                  <c:v>0.47287161826169538</c:v>
                </c:pt>
                <c:pt idx="1">
                  <c:v>0.55422618530924161</c:v>
                </c:pt>
                <c:pt idx="2">
                  <c:v>0.826416138666758</c:v>
                </c:pt>
                <c:pt idx="3">
                  <c:v>1.0022485117365263</c:v>
                </c:pt>
                <c:pt idx="4">
                  <c:v>1.6059729920218431</c:v>
                </c:pt>
                <c:pt idx="5">
                  <c:v>1.9626945767608139</c:v>
                </c:pt>
                <c:pt idx="6">
                  <c:v>3.0211156269123633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0-408A-82C9-8E46DD4100CA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miranda!$Q$13:$Q$19</c:f>
              <c:numCache>
                <c:formatCode>General</c:formatCode>
                <c:ptCount val="7"/>
                <c:pt idx="0">
                  <c:v>0.18372613899121171</c:v>
                </c:pt>
                <c:pt idx="1">
                  <c:v>0.22737475566153709</c:v>
                </c:pt>
                <c:pt idx="2">
                  <c:v>0.41304399454460872</c:v>
                </c:pt>
                <c:pt idx="3">
                  <c:v>0.53022688945493623</c:v>
                </c:pt>
                <c:pt idx="4">
                  <c:v>0.93210463993477866</c:v>
                </c:pt>
                <c:pt idx="5">
                  <c:v>1.1928179809027026</c:v>
                </c:pt>
                <c:pt idx="6">
                  <c:v>2.0349013419453597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0-408A-82C9-8E46DD4100CA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miranda!$Q$24:$Q$30</c:f>
              <c:numCache>
                <c:formatCode>General</c:formatCode>
                <c:ptCount val="7"/>
                <c:pt idx="0">
                  <c:v>1.1926991099299511</c:v>
                </c:pt>
                <c:pt idx="1">
                  <c:v>1.5441476108818273</c:v>
                </c:pt>
                <c:pt idx="2">
                  <c:v>2.4617641501876983</c:v>
                </c:pt>
                <c:pt idx="3">
                  <c:v>2.9457707688423858</c:v>
                </c:pt>
                <c:pt idx="4">
                  <c:v>4.266374840469453</c:v>
                </c:pt>
                <c:pt idx="5">
                  <c:v>4.8905844622040355</c:v>
                </c:pt>
                <c:pt idx="6">
                  <c:v>6.4446537134183171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0-408A-82C9-8E46DD4100CA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miranda!$Q$35:$Q$41</c:f>
              <c:numCache>
                <c:formatCode>General</c:formatCode>
                <c:ptCount val="7"/>
                <c:pt idx="0">
                  <c:v>3.9370187136139183</c:v>
                </c:pt>
                <c:pt idx="1">
                  <c:v>4.5524183752013609</c:v>
                </c:pt>
                <c:pt idx="2">
                  <c:v>6.1514132707838876</c:v>
                </c:pt>
                <c:pt idx="3">
                  <c:v>6.8830686156643495</c:v>
                </c:pt>
                <c:pt idx="4">
                  <c:v>8.7418240522199966</c:v>
                </c:pt>
                <c:pt idx="5">
                  <c:v>9.3882164324011779</c:v>
                </c:pt>
                <c:pt idx="6">
                  <c:v>10.731537306361206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00-408A-82C9-8E46DD4100CA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miranda!$Q$46:$Q$53</c:f>
              <c:numCache>
                <c:formatCode>General</c:formatCode>
                <c:ptCount val="8"/>
                <c:pt idx="0">
                  <c:v>0.40014638233403882</c:v>
                </c:pt>
                <c:pt idx="1">
                  <c:v>0.84568081442383503</c:v>
                </c:pt>
                <c:pt idx="2">
                  <c:v>1.9092823753018071</c:v>
                </c:pt>
                <c:pt idx="3">
                  <c:v>3.7902350813743282</c:v>
                </c:pt>
                <c:pt idx="4">
                  <c:v>5.5963718820861894</c:v>
                </c:pt>
                <c:pt idx="5">
                  <c:v>7.3962264150943708</c:v>
                </c:pt>
                <c:pt idx="6">
                  <c:v>10.976958525345671</c:v>
                </c:pt>
                <c:pt idx="7">
                  <c:v>14.148344935911169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00-408A-82C9-8E46DD4100CA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miranda!$Q$58:$Q$64</c:f>
              <c:numCache>
                <c:formatCode>General</c:formatCode>
                <c:ptCount val="7"/>
                <c:pt idx="0">
                  <c:v>0.70493251498034715</c:v>
                </c:pt>
                <c:pt idx="1">
                  <c:v>0.81949362003673965</c:v>
                </c:pt>
                <c:pt idx="2">
                  <c:v>1.1787714077993658</c:v>
                </c:pt>
                <c:pt idx="3">
                  <c:v>1.3995554379209743</c:v>
                </c:pt>
                <c:pt idx="4">
                  <c:v>2.0742006972318001</c:v>
                </c:pt>
                <c:pt idx="5">
                  <c:v>2.4183443205281216</c:v>
                </c:pt>
                <c:pt idx="6">
                  <c:v>3.2533032870369794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9.1117395795495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00-408A-82C9-8E46DD41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771715219670645E-2"/>
          <c:y val="6.1351466213344676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miranda!$T$3:$T$9</c:f>
              <c:numCache>
                <c:formatCode>General</c:formatCode>
                <c:ptCount val="7"/>
                <c:pt idx="0">
                  <c:v>5.0891592667387702</c:v>
                </c:pt>
                <c:pt idx="1">
                  <c:v>5.3806390078641826</c:v>
                </c:pt>
                <c:pt idx="2">
                  <c:v>6.5872642660469616</c:v>
                </c:pt>
                <c:pt idx="3">
                  <c:v>7.2865471181386958</c:v>
                </c:pt>
                <c:pt idx="4">
                  <c:v>9.570752285678191</c:v>
                </c:pt>
                <c:pt idx="5">
                  <c:v>10.828258774252291</c:v>
                </c:pt>
                <c:pt idx="6">
                  <c:v>14.347895973058515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B-EF4F-A59B-990D15D7C37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miranda!$T$13:$T$19</c:f>
              <c:numCache>
                <c:formatCode>General</c:formatCode>
                <c:ptCount val="7"/>
                <c:pt idx="0">
                  <c:v>5.0233433311532965</c:v>
                </c:pt>
                <c:pt idx="1">
                  <c:v>5.2080251044640686</c:v>
                </c:pt>
                <c:pt idx="2">
                  <c:v>5.952016189649604</c:v>
                </c:pt>
                <c:pt idx="3">
                  <c:v>6.3771784113794103</c:v>
                </c:pt>
                <c:pt idx="4">
                  <c:v>7.9347795981488618</c:v>
                </c:pt>
                <c:pt idx="5">
                  <c:v>8.9075701429971197</c:v>
                </c:pt>
                <c:pt idx="6">
                  <c:v>11.870677814186795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B-EF4F-A59B-990D15D7C37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miranda!$T$24:$T$30</c:f>
              <c:numCache>
                <c:formatCode>General</c:formatCode>
                <c:ptCount val="7"/>
                <c:pt idx="0">
                  <c:v>5.6625532901319593</c:v>
                </c:pt>
                <c:pt idx="1">
                  <c:v>6.8794703118881131</c:v>
                </c:pt>
                <c:pt idx="2">
                  <c:v>10.070541756853368</c:v>
                </c:pt>
                <c:pt idx="3">
                  <c:v>11.726948066584782</c:v>
                </c:pt>
                <c:pt idx="4">
                  <c:v>16.198606906852188</c:v>
                </c:pt>
                <c:pt idx="5">
                  <c:v>18.300984395172453</c:v>
                </c:pt>
                <c:pt idx="6">
                  <c:v>23.503536097618429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EB-EF4F-A59B-990D15D7C37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miranda!$T$35:$T$41</c:f>
              <c:numCache>
                <c:formatCode>General</c:formatCode>
                <c:ptCount val="7"/>
                <c:pt idx="0">
                  <c:v>12.900003723789684</c:v>
                </c:pt>
                <c:pt idx="1">
                  <c:v>14.849367165178194</c:v>
                </c:pt>
                <c:pt idx="2">
                  <c:v>19.88751086771947</c:v>
                </c:pt>
                <c:pt idx="3">
                  <c:v>22.188792877458869</c:v>
                </c:pt>
                <c:pt idx="4">
                  <c:v>27.995800750341548</c:v>
                </c:pt>
                <c:pt idx="5">
                  <c:v>30.016573699578046</c:v>
                </c:pt>
                <c:pt idx="6">
                  <c:v>34.235735567455663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EB-EF4F-A59B-990D15D7C37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miranda!$T$46:$T$53</c:f>
              <c:numCache>
                <c:formatCode>General</c:formatCode>
                <c:ptCount val="8"/>
                <c:pt idx="0">
                  <c:v>1.6670509986203337</c:v>
                </c:pt>
                <c:pt idx="1">
                  <c:v>3.1429881598590463</c:v>
                </c:pt>
                <c:pt idx="2">
                  <c:v>6.6443027111828945</c:v>
                </c:pt>
                <c:pt idx="3">
                  <c:v>12.950782928606536</c:v>
                </c:pt>
                <c:pt idx="4">
                  <c:v>18.775929085799756</c:v>
                </c:pt>
                <c:pt idx="5">
                  <c:v>24.583161267570897</c:v>
                </c:pt>
                <c:pt idx="6">
                  <c:v>36.345289742820725</c:v>
                </c:pt>
                <c:pt idx="7">
                  <c:v>47.392245672813829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EB-EF4F-A59B-990D15D7C37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miranda!$T$58:$T$64</c:f>
              <c:numCache>
                <c:formatCode>General</c:formatCode>
                <c:ptCount val="7"/>
                <c:pt idx="0">
                  <c:v>4.5764962497170618</c:v>
                </c:pt>
                <c:pt idx="1">
                  <c:v>4.9347806930391593</c:v>
                </c:pt>
                <c:pt idx="2">
                  <c:v>6.0594301314582362</c:v>
                </c:pt>
                <c:pt idx="3">
                  <c:v>6.7464034122941028</c:v>
                </c:pt>
                <c:pt idx="4">
                  <c:v>8.8430926908814325</c:v>
                </c:pt>
                <c:pt idx="5">
                  <c:v>9.9113941728544059</c:v>
                </c:pt>
                <c:pt idx="6">
                  <c:v>12.501174919924591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9.1117395795495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EB-EF4F-A59B-990D15D7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jhtdb!$C$3:$C$9</c:f>
              <c:numCache>
                <c:formatCode>General</c:formatCode>
                <c:ptCount val="7"/>
                <c:pt idx="0">
                  <c:v>1.1989730634020099</c:v>
                </c:pt>
                <c:pt idx="1">
                  <c:v>1.3475103859444499</c:v>
                </c:pt>
                <c:pt idx="2">
                  <c:v>1.8071573488499799</c:v>
                </c:pt>
                <c:pt idx="3">
                  <c:v>2.00211877928183</c:v>
                </c:pt>
                <c:pt idx="4">
                  <c:v>2.99160895777448</c:v>
                </c:pt>
                <c:pt idx="5">
                  <c:v>3.7195847302601601</c:v>
                </c:pt>
                <c:pt idx="6">
                  <c:v>5.8609752730648896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6-4143-A48D-11694806F0F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jhtdb!$C$13:$C$19</c:f>
              <c:numCache>
                <c:formatCode>General</c:formatCode>
                <c:ptCount val="7"/>
                <c:pt idx="0">
                  <c:v>1.08799935158273</c:v>
                </c:pt>
                <c:pt idx="1">
                  <c:v>1.1054083878613401</c:v>
                </c:pt>
                <c:pt idx="2">
                  <c:v>1.2637468993754699</c:v>
                </c:pt>
                <c:pt idx="3">
                  <c:v>1.4324942999750001</c:v>
                </c:pt>
                <c:pt idx="4">
                  <c:v>2.39506320376685</c:v>
                </c:pt>
                <c:pt idx="5">
                  <c:v>3.13284919520739</c:v>
                </c:pt>
                <c:pt idx="6">
                  <c:v>5.3525022620887199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6-4143-A48D-11694806F0F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jhtdb!$C$24:$C$30</c:f>
              <c:numCache>
                <c:formatCode>General</c:formatCode>
                <c:ptCount val="7"/>
                <c:pt idx="0">
                  <c:v>3.1211181312269098</c:v>
                </c:pt>
                <c:pt idx="1">
                  <c:v>3.8884129982444602</c:v>
                </c:pt>
                <c:pt idx="2">
                  <c:v>5.9542616684840404</c:v>
                </c:pt>
                <c:pt idx="3">
                  <c:v>6.9168827838951001</c:v>
                </c:pt>
                <c:pt idx="4">
                  <c:v>9.21013949245555</c:v>
                </c:pt>
                <c:pt idx="5">
                  <c:v>10.206109694732801</c:v>
                </c:pt>
                <c:pt idx="6">
                  <c:v>12.523252674551401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6-4143-A48D-11694806F0F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jhtdb!$C$35:$C$39</c:f>
              <c:numCache>
                <c:formatCode>General</c:formatCode>
                <c:ptCount val="5"/>
                <c:pt idx="0">
                  <c:v>10.644285232405499</c:v>
                </c:pt>
                <c:pt idx="1">
                  <c:v>11.4399478170126</c:v>
                </c:pt>
                <c:pt idx="2">
                  <c:v>13.0114151678642</c:v>
                </c:pt>
                <c:pt idx="3">
                  <c:v>14.1775992144733</c:v>
                </c:pt>
                <c:pt idx="4">
                  <c:v>17.729192414352699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C6-4143-A48D-11694806F0F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C6-4143-A48D-11694806F0F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jhtdb!$C$58:$C$64</c:f>
              <c:numCache>
                <c:formatCode>General</c:formatCode>
                <c:ptCount val="7"/>
                <c:pt idx="0">
                  <c:v>2.6413494185916599</c:v>
                </c:pt>
                <c:pt idx="1">
                  <c:v>2.8429701321958398</c:v>
                </c:pt>
                <c:pt idx="2">
                  <c:v>3.2340550283670102</c:v>
                </c:pt>
                <c:pt idx="3">
                  <c:v>3.53013125668011</c:v>
                </c:pt>
                <c:pt idx="4">
                  <c:v>5.0200176242959804</c:v>
                </c:pt>
                <c:pt idx="5">
                  <c:v>5.9187928519861002</c:v>
                </c:pt>
                <c:pt idx="6">
                  <c:v>8.1704979852294404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64.845060849640006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C6-4143-A48D-11694806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jhtdb!$H$3:$H$9</c:f>
              <c:numCache>
                <c:formatCode>General</c:formatCode>
                <c:ptCount val="7"/>
                <c:pt idx="0">
                  <c:v>55.491165576322899</c:v>
                </c:pt>
                <c:pt idx="1">
                  <c:v>55.121554405507503</c:v>
                </c:pt>
                <c:pt idx="2">
                  <c:v>54.008098522591901</c:v>
                </c:pt>
                <c:pt idx="3">
                  <c:v>53.755101229438097</c:v>
                </c:pt>
                <c:pt idx="4">
                  <c:v>52.176506695077897</c:v>
                </c:pt>
                <c:pt idx="5">
                  <c:v>51.060575076750503</c:v>
                </c:pt>
                <c:pt idx="6">
                  <c:v>47.765246666644003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A37-BBE6-63D163DC934B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jhtdb!$H$13:$H$19</c:f>
              <c:numCache>
                <c:formatCode>General</c:formatCode>
                <c:ptCount val="7"/>
                <c:pt idx="0">
                  <c:v>41.853523543681803</c:v>
                </c:pt>
                <c:pt idx="1">
                  <c:v>41.851211046506997</c:v>
                </c:pt>
                <c:pt idx="2">
                  <c:v>41.789796567266897</c:v>
                </c:pt>
                <c:pt idx="3">
                  <c:v>41.725075340083599</c:v>
                </c:pt>
                <c:pt idx="4">
                  <c:v>40.7361683707244</c:v>
                </c:pt>
                <c:pt idx="5">
                  <c:v>40.018875816989201</c:v>
                </c:pt>
                <c:pt idx="6">
                  <c:v>37.591787228046897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B-4A37-BBE6-63D163DC934B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jhtdb!$H$24:$H$30</c:f>
              <c:numCache>
                <c:formatCode>General</c:formatCode>
                <c:ptCount val="7"/>
                <c:pt idx="0">
                  <c:v>85.264714300278698</c:v>
                </c:pt>
                <c:pt idx="1">
                  <c:v>80.397044611830594</c:v>
                </c:pt>
                <c:pt idx="2">
                  <c:v>68.506155912931902</c:v>
                </c:pt>
                <c:pt idx="3">
                  <c:v>64.053409013258303</c:v>
                </c:pt>
                <c:pt idx="4">
                  <c:v>55.327865279674299</c:v>
                </c:pt>
                <c:pt idx="5">
                  <c:v>52.231667986494998</c:v>
                </c:pt>
                <c:pt idx="6">
                  <c:v>46.1664509476986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B-4A37-BBE6-63D163DC934B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jhtdb!$H$35:$H$41</c:f>
              <c:numCache>
                <c:formatCode>General</c:formatCode>
                <c:ptCount val="7"/>
                <c:pt idx="0">
                  <c:v>144.49625802396901</c:v>
                </c:pt>
                <c:pt idx="1">
                  <c:v>144.25191612127799</c:v>
                </c:pt>
                <c:pt idx="2">
                  <c:v>141.33817679954399</c:v>
                </c:pt>
                <c:pt idx="3">
                  <c:v>139.63182518695601</c:v>
                </c:pt>
                <c:pt idx="4">
                  <c:v>138.83119783556</c:v>
                </c:pt>
                <c:pt idx="5">
                  <c:v>138.87592712151701</c:v>
                </c:pt>
                <c:pt idx="6">
                  <c:v>137.80397507056199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7B-4A37-BBE6-63D163DC934B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jhtdb!$H$47:$H$53</c:f>
              <c:numCache>
                <c:formatCode>General</c:formatCode>
                <c:ptCount val="7"/>
                <c:pt idx="0">
                  <c:v>368.43979567353102</c:v>
                </c:pt>
                <c:pt idx="1">
                  <c:v>233.17582165526099</c:v>
                </c:pt>
                <c:pt idx="2">
                  <c:v>111.18257993629101</c:v>
                </c:pt>
                <c:pt idx="3">
                  <c:v>93.546467530938003</c:v>
                </c:pt>
                <c:pt idx="4">
                  <c:v>83.351141641241</c:v>
                </c:pt>
                <c:pt idx="5">
                  <c:v>57.0303743296557</c:v>
                </c:pt>
                <c:pt idx="6">
                  <c:v>34.058088839595399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B-4A37-BBE6-63D163DC934B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jhtdb!$H$58:$H$64</c:f>
              <c:numCache>
                <c:formatCode>General</c:formatCode>
                <c:ptCount val="7"/>
                <c:pt idx="0">
                  <c:v>80.384594112023706</c:v>
                </c:pt>
                <c:pt idx="1">
                  <c:v>80.339463429291698</c:v>
                </c:pt>
                <c:pt idx="2">
                  <c:v>80.340299829319704</c:v>
                </c:pt>
                <c:pt idx="3">
                  <c:v>80.330712996148705</c:v>
                </c:pt>
                <c:pt idx="4">
                  <c:v>80.2602738708392</c:v>
                </c:pt>
                <c:pt idx="5">
                  <c:v>80.2724429551307</c:v>
                </c:pt>
                <c:pt idx="6">
                  <c:v>80.122069936630993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7B-4A37-BBE6-63D163DC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jhtdb!$I$3:$I$9</c:f>
              <c:numCache>
                <c:formatCode>General</c:formatCode>
                <c:ptCount val="7"/>
                <c:pt idx="0">
                  <c:v>44.6535049585639</c:v>
                </c:pt>
                <c:pt idx="1">
                  <c:v>44.153149636097602</c:v>
                </c:pt>
                <c:pt idx="2">
                  <c:v>41.947389023538598</c:v>
                </c:pt>
                <c:pt idx="3">
                  <c:v>40.474973056467803</c:v>
                </c:pt>
                <c:pt idx="4">
                  <c:v>37.339934303278902</c:v>
                </c:pt>
                <c:pt idx="5">
                  <c:v>35.831925909282802</c:v>
                </c:pt>
                <c:pt idx="6">
                  <c:v>32.872052799228896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3-41B4-B21C-DD3BD0BCC2B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jhtdb!$I$13:$I$19</c:f>
              <c:numCache>
                <c:formatCode>General</c:formatCode>
                <c:ptCount val="7"/>
                <c:pt idx="0">
                  <c:v>48.405874340706902</c:v>
                </c:pt>
                <c:pt idx="1">
                  <c:v>44.449398246891903</c:v>
                </c:pt>
                <c:pt idx="2">
                  <c:v>39.842519625056802</c:v>
                </c:pt>
                <c:pt idx="3">
                  <c:v>38.879237648558501</c:v>
                </c:pt>
                <c:pt idx="4">
                  <c:v>36.177685145555799</c:v>
                </c:pt>
                <c:pt idx="5">
                  <c:v>34.656806941717001</c:v>
                </c:pt>
                <c:pt idx="6">
                  <c:v>31.3346496595526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3-41B4-B21C-DD3BD0BCC2B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jhtdb!$I$24:$I$30</c:f>
              <c:numCache>
                <c:formatCode>General</c:formatCode>
                <c:ptCount val="7"/>
                <c:pt idx="0">
                  <c:v>117.616178942853</c:v>
                </c:pt>
                <c:pt idx="1">
                  <c:v>113.03615869582499</c:v>
                </c:pt>
                <c:pt idx="2">
                  <c:v>109.486981411534</c:v>
                </c:pt>
                <c:pt idx="3">
                  <c:v>107.940041877735</c:v>
                </c:pt>
                <c:pt idx="4">
                  <c:v>103.46046475930299</c:v>
                </c:pt>
                <c:pt idx="5">
                  <c:v>101.700319632244</c:v>
                </c:pt>
                <c:pt idx="6">
                  <c:v>97.071579889799295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3-41B4-B21C-DD3BD0BCC2B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jhtdb!$I$35:$I$41</c:f>
              <c:numCache>
                <c:formatCode>General</c:formatCode>
                <c:ptCount val="7"/>
                <c:pt idx="0">
                  <c:v>151.29252284283299</c:v>
                </c:pt>
                <c:pt idx="1">
                  <c:v>150.56180961436101</c:v>
                </c:pt>
                <c:pt idx="2">
                  <c:v>137.11563354356301</c:v>
                </c:pt>
                <c:pt idx="3">
                  <c:v>131.47554317431499</c:v>
                </c:pt>
                <c:pt idx="4">
                  <c:v>130.48420828952499</c:v>
                </c:pt>
                <c:pt idx="5">
                  <c:v>130.75509110157401</c:v>
                </c:pt>
                <c:pt idx="6">
                  <c:v>126.40737549553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3-41B4-B21C-DD3BD0BCC2B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jhtdb!$I$47:$I$53</c:f>
              <c:numCache>
                <c:formatCode>General</c:formatCode>
                <c:ptCount val="7"/>
                <c:pt idx="0">
                  <c:v>405.57053133575101</c:v>
                </c:pt>
                <c:pt idx="1">
                  <c:v>265.11018327630501</c:v>
                </c:pt>
                <c:pt idx="2">
                  <c:v>184.206312860445</c:v>
                </c:pt>
                <c:pt idx="3">
                  <c:v>164.480409314524</c:v>
                </c:pt>
                <c:pt idx="4">
                  <c:v>155.94651976415301</c:v>
                </c:pt>
                <c:pt idx="5">
                  <c:v>143.740862734101</c:v>
                </c:pt>
                <c:pt idx="6">
                  <c:v>133.46906495692701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3-41B4-B21C-DD3BD0BCC2B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jhtdb!$I$58:$I$64</c:f>
              <c:numCache>
                <c:formatCode>General</c:formatCode>
                <c:ptCount val="7"/>
                <c:pt idx="0">
                  <c:v>83.902312606237501</c:v>
                </c:pt>
                <c:pt idx="1">
                  <c:v>83.845247962955796</c:v>
                </c:pt>
                <c:pt idx="2">
                  <c:v>83.751763175082104</c:v>
                </c:pt>
                <c:pt idx="3">
                  <c:v>83.7219226375978</c:v>
                </c:pt>
                <c:pt idx="4">
                  <c:v>83.671495695870703</c:v>
                </c:pt>
                <c:pt idx="5">
                  <c:v>83.641915634574801</c:v>
                </c:pt>
                <c:pt idx="6">
                  <c:v>83.5492267269113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3-41B4-B21C-DD3BD0BCC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jhtdb!$Q$3:$Q$9</c:f>
              <c:numCache>
                <c:formatCode>General</c:formatCode>
                <c:ptCount val="7"/>
                <c:pt idx="0">
                  <c:v>1.148363493048645</c:v>
                </c:pt>
                <c:pt idx="1">
                  <c:v>1.3421737111486345</c:v>
                </c:pt>
                <c:pt idx="2">
                  <c:v>1.8071573488499799</c:v>
                </c:pt>
                <c:pt idx="3">
                  <c:v>2.00211877928183</c:v>
                </c:pt>
                <c:pt idx="4">
                  <c:v>2.99160895777448</c:v>
                </c:pt>
                <c:pt idx="5">
                  <c:v>3.7195847302601601</c:v>
                </c:pt>
                <c:pt idx="6">
                  <c:v>5.8609752730648896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0-44D8-AEB9-76FD2AB7A387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jhtdb!$Q$13:$Q$19</c:f>
              <c:numCache>
                <c:formatCode>General</c:formatCode>
                <c:ptCount val="7"/>
                <c:pt idx="0">
                  <c:v>0.23692263817308332</c:v>
                </c:pt>
                <c:pt idx="1">
                  <c:v>0.35601800121628063</c:v>
                </c:pt>
                <c:pt idx="2">
                  <c:v>0.91291632150344482</c:v>
                </c:pt>
                <c:pt idx="3">
                  <c:v>1.2712624561219719</c:v>
                </c:pt>
                <c:pt idx="4">
                  <c:v>2.39506320376685</c:v>
                </c:pt>
                <c:pt idx="5">
                  <c:v>3.13284919520739</c:v>
                </c:pt>
                <c:pt idx="6">
                  <c:v>5.3525022620887199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0-44D8-AEB9-76FD2AB7A387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jhtdb!$Q$24:$Q$30</c:f>
              <c:numCache>
                <c:formatCode>General</c:formatCode>
                <c:ptCount val="7"/>
                <c:pt idx="0">
                  <c:v>1.6107757109238408</c:v>
                </c:pt>
                <c:pt idx="1">
                  <c:v>2.4868415722436032</c:v>
                </c:pt>
                <c:pt idx="2">
                  <c:v>5.3554535283856159</c:v>
                </c:pt>
                <c:pt idx="3">
                  <c:v>6.5391815757917078</c:v>
                </c:pt>
                <c:pt idx="4">
                  <c:v>8.8820247929084459</c:v>
                </c:pt>
                <c:pt idx="5">
                  <c:v>9.8619422869895672</c:v>
                </c:pt>
                <c:pt idx="6">
                  <c:v>12.182796399158587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0-44D8-AEB9-76FD2AB7A387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jhtdb!$Q$35:$Q$41</c:f>
              <c:numCache>
                <c:formatCode>General</c:formatCode>
                <c:ptCount val="7"/>
                <c:pt idx="0">
                  <c:v>10.46657051099478</c:v>
                </c:pt>
                <c:pt idx="1">
                  <c:v>11.271158060830791</c:v>
                </c:pt>
                <c:pt idx="2">
                  <c:v>12.882589275113197</c:v>
                </c:pt>
                <c:pt idx="3">
                  <c:v>14.163561987528313</c:v>
                </c:pt>
                <c:pt idx="4">
                  <c:v>17.729192414352699</c:v>
                </c:pt>
                <c:pt idx="5">
                  <c:v>18.641062706419099</c:v>
                </c:pt>
                <c:pt idx="6">
                  <c:v>20.124920012423299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60-44D8-AEB9-76FD2AB7A387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jhtdb!$Q$46:$Q$53</c:f>
              <c:numCache>
                <c:formatCode>General</c:formatCode>
                <c:ptCount val="8"/>
                <c:pt idx="0">
                  <c:v>0.49603960396039987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60-44D8-AEB9-76FD2AB7A387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jhtdb!$Q$58:$Q$64</c:f>
              <c:numCache>
                <c:formatCode>General</c:formatCode>
                <c:ptCount val="7"/>
                <c:pt idx="0">
                  <c:v>1.7741652436839388</c:v>
                </c:pt>
                <c:pt idx="1">
                  <c:v>2.20006118180889</c:v>
                </c:pt>
                <c:pt idx="2">
                  <c:v>2.7879784727301815</c:v>
                </c:pt>
                <c:pt idx="3">
                  <c:v>3.0198954129619486</c:v>
                </c:pt>
                <c:pt idx="4">
                  <c:v>4.1013871833845821</c:v>
                </c:pt>
                <c:pt idx="5">
                  <c:v>4.8755264246139589</c:v>
                </c:pt>
                <c:pt idx="6">
                  <c:v>7.0438468387635487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64.845060849640006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60-44D8-AEB9-76FD2AB7A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jhtdb!$T$3:$T$9</c:f>
              <c:numCache>
                <c:formatCode>General</c:formatCode>
                <c:ptCount val="7"/>
                <c:pt idx="0">
                  <c:v>38.3173091542306</c:v>
                </c:pt>
                <c:pt idx="1">
                  <c:v>41.552673182832478</c:v>
                </c:pt>
                <c:pt idx="2">
                  <c:v>49.671466258359402</c:v>
                </c:pt>
                <c:pt idx="3">
                  <c:v>53.225567074171209</c:v>
                </c:pt>
                <c:pt idx="4">
                  <c:v>70.148104510516589</c:v>
                </c:pt>
                <c:pt idx="5">
                  <c:v>82.397844203582935</c:v>
                </c:pt>
                <c:pt idx="6">
                  <c:v>118.09321721036375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A-1546-B56F-DFAAFE307980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jhtdb!$T$13:$T$19</c:f>
              <c:numCache>
                <c:formatCode>General</c:formatCode>
                <c:ptCount val="7"/>
                <c:pt idx="0">
                  <c:v>26.099723672170576</c:v>
                </c:pt>
                <c:pt idx="1">
                  <c:v>28.888525249069971</c:v>
                </c:pt>
                <c:pt idx="2">
                  <c:v>38.957594846401079</c:v>
                </c:pt>
                <c:pt idx="3">
                  <c:v>44.904320362779188</c:v>
                </c:pt>
                <c:pt idx="4">
                  <c:v>63.851817056503137</c:v>
                </c:pt>
                <c:pt idx="5">
                  <c:v>76.320174644652155</c:v>
                </c:pt>
                <c:pt idx="6">
                  <c:v>113.66046013749764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A-1546-B56F-DFAAFE307980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jhtdb!$T$24:$T$30</c:f>
              <c:numCache>
                <c:formatCode>General</c:formatCode>
                <c:ptCount val="7"/>
                <c:pt idx="0">
                  <c:v>35.648996445571662</c:v>
                </c:pt>
                <c:pt idx="1">
                  <c:v>49.997325511890452</c:v>
                </c:pt>
                <c:pt idx="2">
                  <c:v>96.303961418649706</c:v>
                </c:pt>
                <c:pt idx="3">
                  <c:v>115.48306372686886</c:v>
                </c:pt>
                <c:pt idx="4">
                  <c:v>153.81493611180051</c:v>
                </c:pt>
                <c:pt idx="5">
                  <c:v>169.86316313032987</c:v>
                </c:pt>
                <c:pt idx="6">
                  <c:v>207.89151043544572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0A-1546-B56F-DFAAFE307980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jhtdb!$T$35:$T$41</c:f>
              <c:numCache>
                <c:formatCode>General</c:formatCode>
                <c:ptCount val="7"/>
                <c:pt idx="0">
                  <c:v>171.72081439895882</c:v>
                </c:pt>
                <c:pt idx="1">
                  <c:v>184.42893676227456</c:v>
                </c:pt>
                <c:pt idx="2">
                  <c:v>210.28592515741099</c:v>
                </c:pt>
                <c:pt idx="3">
                  <c:v>230.69593526761051</c:v>
                </c:pt>
                <c:pt idx="4">
                  <c:v>286.97377400038431</c:v>
                </c:pt>
                <c:pt idx="5">
                  <c:v>301.35005577032365</c:v>
                </c:pt>
                <c:pt idx="6">
                  <c:v>324.90917333837797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0A-1546-B56F-DFAAFE307980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jhtdb!$T$46:$T$53</c:f>
              <c:numCache>
                <c:formatCode>General</c:formatCode>
                <c:ptCount val="8"/>
                <c:pt idx="0">
                  <c:v>9.850911832407661</c:v>
                </c:pt>
                <c:pt idx="1">
                  <c:v>18.352592973661903</c:v>
                </c:pt>
                <c:pt idx="2">
                  <c:v>35.555633718215731</c:v>
                </c:pt>
                <c:pt idx="3">
                  <c:v>70.268504460834592</c:v>
                </c:pt>
                <c:pt idx="4">
                  <c:v>102.97291889691218</c:v>
                </c:pt>
                <c:pt idx="5">
                  <c:v>135.31929826628672</c:v>
                </c:pt>
                <c:pt idx="6">
                  <c:v>201.42031274172922</c:v>
                </c:pt>
                <c:pt idx="7">
                  <c:v>270.65882703917526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0A-1546-B56F-DFAAFE307980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jhtdb!$T$58:$T$64</c:f>
              <c:numCache>
                <c:formatCode>General</c:formatCode>
                <c:ptCount val="7"/>
                <c:pt idx="0">
                  <c:v>40.253460999830523</c:v>
                </c:pt>
                <c:pt idx="1">
                  <c:v>46.934574433362471</c:v>
                </c:pt>
                <c:pt idx="2">
                  <c:v>56.162253017071471</c:v>
                </c:pt>
                <c:pt idx="3">
                  <c:v>59.826414043390628</c:v>
                </c:pt>
                <c:pt idx="4">
                  <c:v>76.886525240126858</c:v>
                </c:pt>
                <c:pt idx="5">
                  <c:v>89.086151114426301</c:v>
                </c:pt>
                <c:pt idx="6">
                  <c:v>123.23741578247953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64.845060849640006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0A-1546-B56F-DFAAFE307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rtm!$C$3:$C$9</c:f>
              <c:numCache>
                <c:formatCode>General</c:formatCode>
                <c:ptCount val="7"/>
                <c:pt idx="0">
                  <c:v>1.1055294260609101</c:v>
                </c:pt>
                <c:pt idx="1">
                  <c:v>1.1470796986726699</c:v>
                </c:pt>
                <c:pt idx="2">
                  <c:v>1.28613953252198</c:v>
                </c:pt>
                <c:pt idx="3">
                  <c:v>1.38431081420669</c:v>
                </c:pt>
                <c:pt idx="4">
                  <c:v>1.7998688504309399</c:v>
                </c:pt>
                <c:pt idx="5">
                  <c:v>2.0645567092641799</c:v>
                </c:pt>
                <c:pt idx="6">
                  <c:v>2.9336684644601498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1-4E48-9E48-CB29EDC617E6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rtm!$C$13:$C$19</c:f>
              <c:numCache>
                <c:formatCode>General</c:formatCode>
                <c:ptCount val="7"/>
                <c:pt idx="0">
                  <c:v>1.1035749638808801</c:v>
                </c:pt>
                <c:pt idx="1">
                  <c:v>1.1105661744144799</c:v>
                </c:pt>
                <c:pt idx="2">
                  <c:v>1.1597267324488401</c:v>
                </c:pt>
                <c:pt idx="3">
                  <c:v>1.2082381557400099</c:v>
                </c:pt>
                <c:pt idx="4">
                  <c:v>1.4827515357496801</c:v>
                </c:pt>
                <c:pt idx="5">
                  <c:v>1.6921939303359199</c:v>
                </c:pt>
                <c:pt idx="6">
                  <c:v>2.3969045257760002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1-4E48-9E48-CB29EDC617E6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rtm!$C$24:$C$30</c:f>
              <c:numCache>
                <c:formatCode>General</c:formatCode>
                <c:ptCount val="7"/>
                <c:pt idx="0">
                  <c:v>0.76988628562417005</c:v>
                </c:pt>
                <c:pt idx="1">
                  <c:v>0.97288188911044904</c:v>
                </c:pt>
                <c:pt idx="2">
                  <c:v>1.61447516699746</c:v>
                </c:pt>
                <c:pt idx="3">
                  <c:v>1.97448176529967</c:v>
                </c:pt>
                <c:pt idx="4">
                  <c:v>3.0033846269412798</c:v>
                </c:pt>
                <c:pt idx="5">
                  <c:v>3.5230488212096298</c:v>
                </c:pt>
                <c:pt idx="6">
                  <c:v>4.7958389582654402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1-4E48-9E48-CB29EDC617E6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rtm!$C$35:$C$38</c:f>
              <c:numCache>
                <c:formatCode>General</c:formatCode>
                <c:ptCount val="4"/>
                <c:pt idx="0">
                  <c:v>0.59588577750961802</c:v>
                </c:pt>
                <c:pt idx="1">
                  <c:v>0.70700861538931803</c:v>
                </c:pt>
                <c:pt idx="2">
                  <c:v>1.0430245364541499</c:v>
                </c:pt>
                <c:pt idx="3">
                  <c:v>1.2278236762435699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B1-4E48-9E48-CB29EDC617E6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1-4E48-9E48-CB29EDC617E6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rtm!$C$58:$C$64</c:f>
              <c:numCache>
                <c:formatCode>General</c:formatCode>
                <c:ptCount val="7"/>
                <c:pt idx="0">
                  <c:v>0.99927965728235502</c:v>
                </c:pt>
                <c:pt idx="1">
                  <c:v>1.1507891340630401</c:v>
                </c:pt>
                <c:pt idx="2">
                  <c:v>1.5309104109585501</c:v>
                </c:pt>
                <c:pt idx="3">
                  <c:v>1.7732394664100499</c:v>
                </c:pt>
                <c:pt idx="4">
                  <c:v>2.6345854899393499</c:v>
                </c:pt>
                <c:pt idx="5">
                  <c:v>3.0497204515952201</c:v>
                </c:pt>
                <c:pt idx="6">
                  <c:v>4.0416504163418701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61.219363477350797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B1-4E48-9E48-CB29EDC6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rtm!$H$3:$H$9</c:f>
              <c:numCache>
                <c:formatCode>General</c:formatCode>
                <c:ptCount val="7"/>
                <c:pt idx="0">
                  <c:v>56.012150198921297</c:v>
                </c:pt>
                <c:pt idx="1">
                  <c:v>55.958622890088897</c:v>
                </c:pt>
                <c:pt idx="2">
                  <c:v>55.816012300320601</c:v>
                </c:pt>
                <c:pt idx="3">
                  <c:v>55.648209131885203</c:v>
                </c:pt>
                <c:pt idx="4">
                  <c:v>54.991001376644</c:v>
                </c:pt>
                <c:pt idx="5">
                  <c:v>54.5372450172855</c:v>
                </c:pt>
                <c:pt idx="6">
                  <c:v>53.333712942154001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7-4961-B2A4-8B6F53FF2C38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rtm!$H$13:$H$19</c:f>
              <c:numCache>
                <c:formatCode>General</c:formatCode>
                <c:ptCount val="7"/>
                <c:pt idx="0">
                  <c:v>40.8916192322177</c:v>
                </c:pt>
                <c:pt idx="1">
                  <c:v>40.880399157637903</c:v>
                </c:pt>
                <c:pt idx="2">
                  <c:v>40.873332471224202</c:v>
                </c:pt>
                <c:pt idx="3">
                  <c:v>40.848503427633098</c:v>
                </c:pt>
                <c:pt idx="4">
                  <c:v>40.646069633170796</c:v>
                </c:pt>
                <c:pt idx="5">
                  <c:v>40.486725834611399</c:v>
                </c:pt>
                <c:pt idx="6">
                  <c:v>39.890453765098599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7-4961-B2A4-8B6F53FF2C38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rtm!$H$24:$H$30</c:f>
              <c:numCache>
                <c:formatCode>General</c:formatCode>
                <c:ptCount val="7"/>
                <c:pt idx="0">
                  <c:v>93.002039815481695</c:v>
                </c:pt>
                <c:pt idx="1">
                  <c:v>90.730069319272502</c:v>
                </c:pt>
                <c:pt idx="2">
                  <c:v>85.092578563494897</c:v>
                </c:pt>
                <c:pt idx="3">
                  <c:v>82.575784723286105</c:v>
                </c:pt>
                <c:pt idx="4">
                  <c:v>76.6244704822046</c:v>
                </c:pt>
                <c:pt idx="5">
                  <c:v>74.046951593147298</c:v>
                </c:pt>
                <c:pt idx="6">
                  <c:v>68.054091528519507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7-4961-B2A4-8B6F53FF2C38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rtm!$H$35:$H$41</c:f>
              <c:numCache>
                <c:formatCode>General</c:formatCode>
                <c:ptCount val="7"/>
                <c:pt idx="0">
                  <c:v>295.26621347433598</c:v>
                </c:pt>
                <c:pt idx="1">
                  <c:v>290.31669960518201</c:v>
                </c:pt>
                <c:pt idx="2">
                  <c:v>279.03818807438898</c:v>
                </c:pt>
                <c:pt idx="3">
                  <c:v>274.56132403264297</c:v>
                </c:pt>
                <c:pt idx="4">
                  <c:v>263.77440516305001</c:v>
                </c:pt>
                <c:pt idx="5">
                  <c:v>258.232549423519</c:v>
                </c:pt>
                <c:pt idx="6">
                  <c:v>242.32482123516399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D7-4961-B2A4-8B6F53FF2C38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rtm!$H$47:$H$53</c:f>
              <c:numCache>
                <c:formatCode>General</c:formatCode>
                <c:ptCount val="7"/>
                <c:pt idx="0">
                  <c:v>360.57553921465302</c:v>
                </c:pt>
                <c:pt idx="1">
                  <c:v>269.41794279709001</c:v>
                </c:pt>
                <c:pt idx="2">
                  <c:v>195.33124549049899</c:v>
                </c:pt>
                <c:pt idx="3">
                  <c:v>179.67382809844699</c:v>
                </c:pt>
                <c:pt idx="4">
                  <c:v>170.09861187098099</c:v>
                </c:pt>
                <c:pt idx="5">
                  <c:v>145.81423931454901</c:v>
                </c:pt>
                <c:pt idx="6">
                  <c:v>121.698753175123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7-4961-B2A4-8B6F53FF2C38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rtm!$H$58:$H$64</c:f>
              <c:numCache>
                <c:formatCode>General</c:formatCode>
                <c:ptCount val="7"/>
                <c:pt idx="0">
                  <c:v>78.239922800384306</c:v>
                </c:pt>
                <c:pt idx="1">
                  <c:v>78.244828134081601</c:v>
                </c:pt>
                <c:pt idx="2">
                  <c:v>78.177381165781796</c:v>
                </c:pt>
                <c:pt idx="3">
                  <c:v>78.152987158375097</c:v>
                </c:pt>
                <c:pt idx="4">
                  <c:v>78.095016973149697</c:v>
                </c:pt>
                <c:pt idx="5">
                  <c:v>78.086248328217593</c:v>
                </c:pt>
                <c:pt idx="6">
                  <c:v>78.034191221902304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D7-4961-B2A4-8B6F53FF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rtm!$I$3:$I$9</c:f>
              <c:numCache>
                <c:formatCode>General</c:formatCode>
                <c:ptCount val="7"/>
                <c:pt idx="0">
                  <c:v>55.193537923106199</c:v>
                </c:pt>
                <c:pt idx="1">
                  <c:v>54.062738652517901</c:v>
                </c:pt>
                <c:pt idx="2">
                  <c:v>49.431814333578501</c:v>
                </c:pt>
                <c:pt idx="3">
                  <c:v>47.620368673477202</c:v>
                </c:pt>
                <c:pt idx="4">
                  <c:v>43.048833673381402</c:v>
                </c:pt>
                <c:pt idx="5">
                  <c:v>41.821775178536399</c:v>
                </c:pt>
                <c:pt idx="6">
                  <c:v>40.053889804058898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A-4E5A-95A1-771911EE2A23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rtm!$I$13:$I$19</c:f>
              <c:numCache>
                <c:formatCode>General</c:formatCode>
                <c:ptCount val="7"/>
                <c:pt idx="0">
                  <c:v>47.975495946178</c:v>
                </c:pt>
                <c:pt idx="1">
                  <c:v>47.654387867896098</c:v>
                </c:pt>
                <c:pt idx="2">
                  <c:v>45.520115972088703</c:v>
                </c:pt>
                <c:pt idx="3">
                  <c:v>44.364220923374603</c:v>
                </c:pt>
                <c:pt idx="4">
                  <c:v>41.484648072080297</c:v>
                </c:pt>
                <c:pt idx="5">
                  <c:v>40.191658720416903</c:v>
                </c:pt>
                <c:pt idx="6">
                  <c:v>37.380417329308798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A-4E5A-95A1-771911EE2A23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rtm!$I$24:$I$30</c:f>
              <c:numCache>
                <c:formatCode>General</c:formatCode>
                <c:ptCount val="7"/>
                <c:pt idx="0">
                  <c:v>341.14088862131803</c:v>
                </c:pt>
                <c:pt idx="1">
                  <c:v>293.70846343264498</c:v>
                </c:pt>
                <c:pt idx="2">
                  <c:v>222.18606072135501</c:v>
                </c:pt>
                <c:pt idx="3">
                  <c:v>199.60438423038599</c:v>
                </c:pt>
                <c:pt idx="4">
                  <c:v>166.74267551692699</c:v>
                </c:pt>
                <c:pt idx="5">
                  <c:v>153.76250022686801</c:v>
                </c:pt>
                <c:pt idx="6">
                  <c:v>132.472479474198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A-4E5A-95A1-771911EE2A23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rtm!$I$35:$I$41</c:f>
              <c:numCache>
                <c:formatCode>General</c:formatCode>
                <c:ptCount val="7"/>
                <c:pt idx="0">
                  <c:v>3236.8562631167401</c:v>
                </c:pt>
                <c:pt idx="1">
                  <c:v>2863.6678273851899</c:v>
                </c:pt>
                <c:pt idx="2">
                  <c:v>2390.9633810403202</c:v>
                </c:pt>
                <c:pt idx="3">
                  <c:v>2268.9873554535502</c:v>
                </c:pt>
                <c:pt idx="4">
                  <c:v>1989.47867387051</c:v>
                </c:pt>
                <c:pt idx="5">
                  <c:v>1872.30295205116</c:v>
                </c:pt>
                <c:pt idx="6">
                  <c:v>1588.6995862096301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A-4E5A-95A1-771911EE2A23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rtm!$I$47:$I$53</c:f>
              <c:numCache>
                <c:formatCode>General</c:formatCode>
                <c:ptCount val="7"/>
                <c:pt idx="0">
                  <c:v>349.08716398522898</c:v>
                </c:pt>
                <c:pt idx="1">
                  <c:v>272.65275244408201</c:v>
                </c:pt>
                <c:pt idx="2">
                  <c:v>212.93201596542301</c:v>
                </c:pt>
                <c:pt idx="3">
                  <c:v>196.76579732480599</c:v>
                </c:pt>
                <c:pt idx="4">
                  <c:v>188.333725379382</c:v>
                </c:pt>
                <c:pt idx="5">
                  <c:v>176.12922824662101</c:v>
                </c:pt>
                <c:pt idx="6">
                  <c:v>166.661338946493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A-4E5A-95A1-771911EE2A23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rtm!$I$58:$I$64</c:f>
              <c:numCache>
                <c:formatCode>General</c:formatCode>
                <c:ptCount val="7"/>
                <c:pt idx="0">
                  <c:v>82.549255536548898</c:v>
                </c:pt>
                <c:pt idx="1">
                  <c:v>82.330123161352901</c:v>
                </c:pt>
                <c:pt idx="2">
                  <c:v>82.139032307980798</c:v>
                </c:pt>
                <c:pt idx="3">
                  <c:v>81.884160780359807</c:v>
                </c:pt>
                <c:pt idx="4">
                  <c:v>81.533121740414899</c:v>
                </c:pt>
                <c:pt idx="5">
                  <c:v>81.500102780759207</c:v>
                </c:pt>
                <c:pt idx="6">
                  <c:v>81.435460116746498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A-4E5A-95A1-771911EE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rtm!$Q$3:$Q$9</c:f>
              <c:numCache>
                <c:formatCode>General</c:formatCode>
                <c:ptCount val="7"/>
                <c:pt idx="0">
                  <c:v>0.37537941923327234</c:v>
                </c:pt>
                <c:pt idx="1">
                  <c:v>0.44521732349469256</c:v>
                </c:pt>
                <c:pt idx="2">
                  <c:v>0.6314128059271773</c:v>
                </c:pt>
                <c:pt idx="3">
                  <c:v>0.74652957687751409</c:v>
                </c:pt>
                <c:pt idx="4">
                  <c:v>1.1931759805317124</c:v>
                </c:pt>
                <c:pt idx="5">
                  <c:v>1.452551204033993</c:v>
                </c:pt>
                <c:pt idx="6">
                  <c:v>2.1881935112983775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B-4297-AD04-D45C1EBF3B7F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rtm!$Q$13:$Q$19</c:f>
              <c:numCache>
                <c:formatCode>General</c:formatCode>
                <c:ptCount val="7"/>
                <c:pt idx="0">
                  <c:v>0.13177701139747888</c:v>
                </c:pt>
                <c:pt idx="1">
                  <c:v>0.16759153414953659</c:v>
                </c:pt>
                <c:pt idx="2">
                  <c:v>0.32572246120192755</c:v>
                </c:pt>
                <c:pt idx="3">
                  <c:v>0.41837014870130196</c:v>
                </c:pt>
                <c:pt idx="4">
                  <c:v>0.69636440100443497</c:v>
                </c:pt>
                <c:pt idx="5">
                  <c:v>0.88897151661633711</c:v>
                </c:pt>
                <c:pt idx="6">
                  <c:v>1.5399495845321443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B-4297-AD04-D45C1EBF3B7F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rtm!$Q$24:$Q$30</c:f>
              <c:numCache>
                <c:formatCode>General</c:formatCode>
                <c:ptCount val="7"/>
                <c:pt idx="0">
                  <c:v>0.31854829332654638</c:v>
                </c:pt>
                <c:pt idx="1">
                  <c:v>0.47979173098733746</c:v>
                </c:pt>
                <c:pt idx="2">
                  <c:v>1.028153614886284</c:v>
                </c:pt>
                <c:pt idx="3">
                  <c:v>1.3505476896664794</c:v>
                </c:pt>
                <c:pt idx="4">
                  <c:v>2.2793671107501288</c:v>
                </c:pt>
                <c:pt idx="5">
                  <c:v>2.7434465996849697</c:v>
                </c:pt>
                <c:pt idx="6">
                  <c:v>3.8968945368779209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BB-4297-AD04-D45C1EBF3B7F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rtm!$Q$35:$Q$38</c:f>
              <c:numCache>
                <c:formatCode>General</c:formatCode>
                <c:ptCount val="4"/>
                <c:pt idx="0">
                  <c:v>0.45438485089785763</c:v>
                </c:pt>
                <c:pt idx="1">
                  <c:v>0.54888126595905395</c:v>
                </c:pt>
                <c:pt idx="2">
                  <c:v>0.82504363690528826</c:v>
                </c:pt>
                <c:pt idx="3">
                  <c:v>0.97658590577101079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B-4297-AD04-D45C1EBF3B7F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rtm!$Q$46:$Q$53</c:f>
              <c:numCache>
                <c:formatCode>General</c:formatCode>
                <c:ptCount val="8"/>
                <c:pt idx="0">
                  <c:v>0.35645168779229464</c:v>
                </c:pt>
                <c:pt idx="1">
                  <c:v>0.70702222017187588</c:v>
                </c:pt>
                <c:pt idx="2">
                  <c:v>1.4076899856577669</c:v>
                </c:pt>
                <c:pt idx="3">
                  <c:v>2.7636322293891715</c:v>
                </c:pt>
                <c:pt idx="4">
                  <c:v>4.1311057310922532</c:v>
                </c:pt>
                <c:pt idx="5">
                  <c:v>5.4920773826164062</c:v>
                </c:pt>
                <c:pt idx="6">
                  <c:v>8.162396310446514</c:v>
                </c:pt>
                <c:pt idx="7">
                  <c:v>10.848240950851141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B-4297-AD04-D45C1EBF3B7F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rtm!$Q$58:$Q$64</c:f>
              <c:numCache>
                <c:formatCode>General</c:formatCode>
                <c:ptCount val="7"/>
                <c:pt idx="0">
                  <c:v>0.45880264974496671</c:v>
                </c:pt>
                <c:pt idx="1">
                  <c:v>0.58459237881218107</c:v>
                </c:pt>
                <c:pt idx="2">
                  <c:v>0.90113698370408923</c:v>
                </c:pt>
                <c:pt idx="3">
                  <c:v>1.0811070135063414</c:v>
                </c:pt>
                <c:pt idx="4">
                  <c:v>1.7417257661597478</c:v>
                </c:pt>
                <c:pt idx="5">
                  <c:v>2.1070301283177582</c:v>
                </c:pt>
                <c:pt idx="6">
                  <c:v>3.0064755389606304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61.219363477350797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BB-4297-AD04-D45C1EBF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rtm!$T$3:$T$9</c:f>
              <c:numCache>
                <c:formatCode>General</c:formatCode>
                <c:ptCount val="7"/>
                <c:pt idx="0">
                  <c:v>31.365940549158463</c:v>
                </c:pt>
                <c:pt idx="1">
                  <c:v>33.058698280759238</c:v>
                </c:pt>
                <c:pt idx="2">
                  <c:v>38.040898217653549</c:v>
                </c:pt>
                <c:pt idx="3">
                  <c:v>40.943036147373974</c:v>
                </c:pt>
                <c:pt idx="4">
                  <c:v>51.727129602056785</c:v>
                </c:pt>
                <c:pt idx="5">
                  <c:v>57.608574443506832</c:v>
                </c:pt>
                <c:pt idx="6">
                  <c:v>73.728683505633342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D-DF4F-B906-6CE07CD6DAF7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rtm!$T$13:$T$19</c:f>
              <c:numCache>
                <c:formatCode>General</c:formatCode>
                <c:ptCount val="7"/>
                <c:pt idx="0">
                  <c:v>32.48007402642903</c:v>
                </c:pt>
                <c:pt idx="1">
                  <c:v>33.310829964824926</c:v>
                </c:pt>
                <c:pt idx="2">
                  <c:v>37.196415667821739</c:v>
                </c:pt>
                <c:pt idx="3">
                  <c:v>39.479450088109417</c:v>
                </c:pt>
                <c:pt idx="4">
                  <c:v>46.296435544988945</c:v>
                </c:pt>
                <c:pt idx="5">
                  <c:v>50.832858328062841</c:v>
                </c:pt>
                <c:pt idx="6">
                  <c:v>65.697227482685108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D-DF4F-B906-6CE07CD6DAF7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rtm!$T$24:$T$30</c:f>
              <c:numCache>
                <c:formatCode>General</c:formatCode>
                <c:ptCount val="7"/>
                <c:pt idx="0">
                  <c:v>15.606687008953671</c:v>
                </c:pt>
                <c:pt idx="1">
                  <c:v>19.418412489095886</c:v>
                </c:pt>
                <c:pt idx="2">
                  <c:v>31.90572011076009</c:v>
                </c:pt>
                <c:pt idx="3">
                  <c:v>39.110777908643414</c:v>
                </c:pt>
                <c:pt idx="4">
                  <c:v>59.502020224168476</c:v>
                </c:pt>
                <c:pt idx="5">
                  <c:v>69.696812056546918</c:v>
                </c:pt>
                <c:pt idx="6">
                  <c:v>94.927114367871084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D-DF4F-B906-6CE07CD6DAF7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rtm!$T$35:$T$38</c:f>
              <c:numCache>
                <c:formatCode>General</c:formatCode>
                <c:ptCount val="4"/>
                <c:pt idx="0">
                  <c:v>11.811146980074444</c:v>
                </c:pt>
                <c:pt idx="1">
                  <c:v>13.827447746862038</c:v>
                </c:pt>
                <c:pt idx="2">
                  <c:v>19.666130564887858</c:v>
                </c:pt>
                <c:pt idx="3">
                  <c:v>22.846707718985954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9D-DF4F-B906-6CE07CD6DAF7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rtm!$T$46:$T$53</c:f>
              <c:numCache>
                <c:formatCode>General</c:formatCode>
                <c:ptCount val="8"/>
                <c:pt idx="0">
                  <c:v>10.855155495563407</c:v>
                </c:pt>
                <c:pt idx="1">
                  <c:v>18.532481162972182</c:v>
                </c:pt>
                <c:pt idx="2">
                  <c:v>34.342585090339263</c:v>
                </c:pt>
                <c:pt idx="3">
                  <c:v>64.357266578179193</c:v>
                </c:pt>
                <c:pt idx="4">
                  <c:v>93.584992874571483</c:v>
                </c:pt>
                <c:pt idx="5">
                  <c:v>122.4905422407333</c:v>
                </c:pt>
                <c:pt idx="6">
                  <c:v>179.38936661736886</c:v>
                </c:pt>
                <c:pt idx="7">
                  <c:v>236.82893872867996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9D-DF4F-B906-6CE07CD6DAF7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rtm!$T$58:$T$64</c:f>
              <c:numCache>
                <c:formatCode>General</c:formatCode>
                <c:ptCount val="7"/>
                <c:pt idx="0">
                  <c:v>25.84647665949964</c:v>
                </c:pt>
                <c:pt idx="1">
                  <c:v>28.458153936895485</c:v>
                </c:pt>
                <c:pt idx="2">
                  <c:v>35.00856814653892</c:v>
                </c:pt>
                <c:pt idx="3">
                  <c:v>38.755044118781221</c:v>
                </c:pt>
                <c:pt idx="4">
                  <c:v>52.418917703416305</c:v>
                </c:pt>
                <c:pt idx="5">
                  <c:v>59.950700082459555</c:v>
                </c:pt>
                <c:pt idx="6">
                  <c:v>78.476573323301054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61.219363477350797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9D-DF4F-B906-6CE07CD6D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qmcpack!$C$3:$C$9</c:f>
              <c:numCache>
                <c:formatCode>General</c:formatCode>
                <c:ptCount val="7"/>
                <c:pt idx="0">
                  <c:v>1.11681547883917</c:v>
                </c:pt>
                <c:pt idx="1">
                  <c:v>1.1980469289208799</c:v>
                </c:pt>
                <c:pt idx="2">
                  <c:v>1.5257077949174001</c:v>
                </c:pt>
                <c:pt idx="3">
                  <c:v>1.6656827860168599</c:v>
                </c:pt>
                <c:pt idx="4">
                  <c:v>2.1555591601294801</c:v>
                </c:pt>
                <c:pt idx="5">
                  <c:v>2.5166161547725201</c:v>
                </c:pt>
                <c:pt idx="6">
                  <c:v>3.86155872711005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F-4E4A-81AB-5D02D34B05CB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qmcpack!$C$13:$C$19</c:f>
              <c:numCache>
                <c:formatCode>General</c:formatCode>
                <c:ptCount val="7"/>
                <c:pt idx="0">
                  <c:v>1.08966673462327</c:v>
                </c:pt>
                <c:pt idx="1">
                  <c:v>1.0989164203319499</c:v>
                </c:pt>
                <c:pt idx="2">
                  <c:v>1.1520061701450399</c:v>
                </c:pt>
                <c:pt idx="3">
                  <c:v>1.1933491519221799</c:v>
                </c:pt>
                <c:pt idx="4">
                  <c:v>1.41366134046195</c:v>
                </c:pt>
                <c:pt idx="5">
                  <c:v>1.59984233553783</c:v>
                </c:pt>
                <c:pt idx="6">
                  <c:v>2.5660270844158699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F-4E4A-81AB-5D02D34B05CB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qmcpack!$C$24:$C$30</c:f>
              <c:numCache>
                <c:formatCode>General</c:formatCode>
                <c:ptCount val="7"/>
                <c:pt idx="0">
                  <c:v>1.44046867088675</c:v>
                </c:pt>
                <c:pt idx="1">
                  <c:v>1.9095330093810501</c:v>
                </c:pt>
                <c:pt idx="2">
                  <c:v>3.1760689556330899</c:v>
                </c:pt>
                <c:pt idx="3">
                  <c:v>3.87924539463866</c:v>
                </c:pt>
                <c:pt idx="4">
                  <c:v>5.7542965714102801</c:v>
                </c:pt>
                <c:pt idx="5">
                  <c:v>6.6367501327868501</c:v>
                </c:pt>
                <c:pt idx="6">
                  <c:v>8.7899820574491194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0F-4E4A-81AB-5D02D34B05CB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qmcpack!$C$35:$C$39</c:f>
              <c:numCache>
                <c:formatCode>General</c:formatCode>
                <c:ptCount val="5"/>
                <c:pt idx="0">
                  <c:v>9.7219905654157799</c:v>
                </c:pt>
                <c:pt idx="1">
                  <c:v>10.670661050786601</c:v>
                </c:pt>
                <c:pt idx="2">
                  <c:v>12.9340327950485</c:v>
                </c:pt>
                <c:pt idx="3">
                  <c:v>14.124699022526601</c:v>
                </c:pt>
                <c:pt idx="4">
                  <c:v>17.166230805337602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0F-4E4A-81AB-5D02D34B05CB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0F-4E4A-81AB-5D02D34B05CB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qmcpack!$C$58:$C$64</c:f>
              <c:numCache>
                <c:formatCode>General</c:formatCode>
                <c:ptCount val="7"/>
                <c:pt idx="0">
                  <c:v>1.68051948638493</c:v>
                </c:pt>
                <c:pt idx="1">
                  <c:v>2.0425350259650799</c:v>
                </c:pt>
                <c:pt idx="2">
                  <c:v>2.6499817192667301</c:v>
                </c:pt>
                <c:pt idx="3">
                  <c:v>2.9311016169880002</c:v>
                </c:pt>
                <c:pt idx="4">
                  <c:v>3.8754892502405802</c:v>
                </c:pt>
                <c:pt idx="5">
                  <c:v>4.4465411120938203</c:v>
                </c:pt>
                <c:pt idx="6">
                  <c:v>6.1359457122203098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61.991796667126998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0F-4E4A-81AB-5D02D34B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qmcpack!$H$3:$H$9</c:f>
              <c:numCache>
                <c:formatCode>General</c:formatCode>
                <c:ptCount val="7"/>
                <c:pt idx="0">
                  <c:v>55.023612097925202</c:v>
                </c:pt>
                <c:pt idx="1">
                  <c:v>54.976148095115001</c:v>
                </c:pt>
                <c:pt idx="2">
                  <c:v>54.483698852009901</c:v>
                </c:pt>
                <c:pt idx="3">
                  <c:v>54.1249848213359</c:v>
                </c:pt>
                <c:pt idx="4">
                  <c:v>53.304554401207803</c:v>
                </c:pt>
                <c:pt idx="5">
                  <c:v>52.603891187557899</c:v>
                </c:pt>
                <c:pt idx="6">
                  <c:v>50.599547971604203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307-B035-3D17D439EB27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qmcpack!$H$13:$H$19</c:f>
              <c:numCache>
                <c:formatCode>General</c:formatCode>
                <c:ptCount val="7"/>
                <c:pt idx="0">
                  <c:v>37.002821638420102</c:v>
                </c:pt>
                <c:pt idx="1">
                  <c:v>36.996850871806501</c:v>
                </c:pt>
                <c:pt idx="2">
                  <c:v>36.948744974949598</c:v>
                </c:pt>
                <c:pt idx="3">
                  <c:v>36.964739229982897</c:v>
                </c:pt>
                <c:pt idx="4">
                  <c:v>36.779812054602303</c:v>
                </c:pt>
                <c:pt idx="5">
                  <c:v>36.700832201995603</c:v>
                </c:pt>
                <c:pt idx="6">
                  <c:v>36.073296415167803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F-4307-B035-3D17D439EB27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qmcpack!$H$24:$H$30</c:f>
              <c:numCache>
                <c:formatCode>General</c:formatCode>
                <c:ptCount val="7"/>
                <c:pt idx="0">
                  <c:v>92.449783282399807</c:v>
                </c:pt>
                <c:pt idx="1">
                  <c:v>90.038627704378499</c:v>
                </c:pt>
                <c:pt idx="2">
                  <c:v>82.485241414588302</c:v>
                </c:pt>
                <c:pt idx="3">
                  <c:v>78.247809666997199</c:v>
                </c:pt>
                <c:pt idx="4">
                  <c:v>68.0181094714751</c:v>
                </c:pt>
                <c:pt idx="5">
                  <c:v>64.232881295839704</c:v>
                </c:pt>
                <c:pt idx="6">
                  <c:v>56.398740347413103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F-4307-B035-3D17D439EB27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qmcpack!$H$35:$H$41</c:f>
              <c:numCache>
                <c:formatCode>General</c:formatCode>
                <c:ptCount val="7"/>
                <c:pt idx="0">
                  <c:v>155.59876148093099</c:v>
                </c:pt>
                <c:pt idx="1">
                  <c:v>151.61855659461901</c:v>
                </c:pt>
                <c:pt idx="2">
                  <c:v>144.07860812006899</c:v>
                </c:pt>
                <c:pt idx="3">
                  <c:v>142.125354851482</c:v>
                </c:pt>
                <c:pt idx="4">
                  <c:v>139.395892662519</c:v>
                </c:pt>
                <c:pt idx="5">
                  <c:v>138.25781916742201</c:v>
                </c:pt>
                <c:pt idx="6">
                  <c:v>134.875060533425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F-4307-B035-3D17D439EB27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qmcpack!$H$47:$H$53</c:f>
              <c:numCache>
                <c:formatCode>General</c:formatCode>
                <c:ptCount val="7"/>
                <c:pt idx="0">
                  <c:v>337.155447577122</c:v>
                </c:pt>
                <c:pt idx="1">
                  <c:v>240.42905250481999</c:v>
                </c:pt>
                <c:pt idx="2">
                  <c:v>113.722598555877</c:v>
                </c:pt>
                <c:pt idx="3">
                  <c:v>89.616434725325703</c:v>
                </c:pt>
                <c:pt idx="4">
                  <c:v>76.832588513480104</c:v>
                </c:pt>
                <c:pt idx="5">
                  <c:v>49.194450738378698</c:v>
                </c:pt>
                <c:pt idx="6">
                  <c:v>28.387568517152101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F-4307-B035-3D17D439EB27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qmcpack!$H$58:$H$64</c:f>
              <c:numCache>
                <c:formatCode>General</c:formatCode>
                <c:ptCount val="7"/>
                <c:pt idx="0">
                  <c:v>79.009239291518398</c:v>
                </c:pt>
                <c:pt idx="1">
                  <c:v>78.827703352635695</c:v>
                </c:pt>
                <c:pt idx="2">
                  <c:v>78.947025235255694</c:v>
                </c:pt>
                <c:pt idx="3">
                  <c:v>78.869011449927498</c:v>
                </c:pt>
                <c:pt idx="4">
                  <c:v>78.855448985722006</c:v>
                </c:pt>
                <c:pt idx="5">
                  <c:v>78.875418451304398</c:v>
                </c:pt>
                <c:pt idx="6">
                  <c:v>78.801615729360293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4F-4307-B035-3D17D439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qmcpack!$I$3:$I$9</c:f>
              <c:numCache>
                <c:formatCode>General</c:formatCode>
                <c:ptCount val="7"/>
                <c:pt idx="0">
                  <c:v>51.941085867591802</c:v>
                </c:pt>
                <c:pt idx="1">
                  <c:v>51.568557966231097</c:v>
                </c:pt>
                <c:pt idx="2">
                  <c:v>47.919986242482501</c:v>
                </c:pt>
                <c:pt idx="3">
                  <c:v>45.3341701824205</c:v>
                </c:pt>
                <c:pt idx="4">
                  <c:v>41.405692456867101</c:v>
                </c:pt>
                <c:pt idx="5">
                  <c:v>39.449413044659202</c:v>
                </c:pt>
                <c:pt idx="6">
                  <c:v>36.988713504117698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B-4F30-BBEE-B3A567A11D99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qmcpack!$I$13:$I$19</c:f>
              <c:numCache>
                <c:formatCode>General</c:formatCode>
                <c:ptCount val="7"/>
                <c:pt idx="0">
                  <c:v>40.458167082319697</c:v>
                </c:pt>
                <c:pt idx="1">
                  <c:v>40.747054532272401</c:v>
                </c:pt>
                <c:pt idx="2">
                  <c:v>39.206530414736399</c:v>
                </c:pt>
                <c:pt idx="3">
                  <c:v>38.745581058331297</c:v>
                </c:pt>
                <c:pt idx="4">
                  <c:v>36.509010597358497</c:v>
                </c:pt>
                <c:pt idx="5">
                  <c:v>35.316197667846403</c:v>
                </c:pt>
                <c:pt idx="6">
                  <c:v>33.399276242465099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B-4F30-BBEE-B3A567A11D99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qmcpack!$I$24:$I$30</c:f>
              <c:numCache>
                <c:formatCode>General</c:formatCode>
                <c:ptCount val="7"/>
                <c:pt idx="0">
                  <c:v>220.493683266906</c:v>
                </c:pt>
                <c:pt idx="1">
                  <c:v>169.17581205115499</c:v>
                </c:pt>
                <c:pt idx="2">
                  <c:v>148.59681878873201</c:v>
                </c:pt>
                <c:pt idx="3">
                  <c:v>141.194989241412</c:v>
                </c:pt>
                <c:pt idx="4">
                  <c:v>126.087909861046</c:v>
                </c:pt>
                <c:pt idx="5">
                  <c:v>119.78778000324699</c:v>
                </c:pt>
                <c:pt idx="6">
                  <c:v>109.379723523994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B-4F30-BBEE-B3A567A11D99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qmcpack!$I$35:$I$41</c:f>
              <c:numCache>
                <c:formatCode>General</c:formatCode>
                <c:ptCount val="7"/>
                <c:pt idx="0">
                  <c:v>171.862106393956</c:v>
                </c:pt>
                <c:pt idx="1">
                  <c:v>160.146266206099</c:v>
                </c:pt>
                <c:pt idx="2">
                  <c:v>141.651539236574</c:v>
                </c:pt>
                <c:pt idx="3">
                  <c:v>137.931586348748</c:v>
                </c:pt>
                <c:pt idx="4">
                  <c:v>131.87803950540001</c:v>
                </c:pt>
                <c:pt idx="5">
                  <c:v>128.80853666819999</c:v>
                </c:pt>
                <c:pt idx="6">
                  <c:v>119.78001260880799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B-4F30-BBEE-B3A567A11D99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qmcpack!$I$47:$I$53</c:f>
              <c:numCache>
                <c:formatCode>General</c:formatCode>
                <c:ptCount val="7"/>
                <c:pt idx="0">
                  <c:v>381.54230859426002</c:v>
                </c:pt>
                <c:pt idx="1">
                  <c:v>287.31375494519199</c:v>
                </c:pt>
                <c:pt idx="2">
                  <c:v>200.03877621395401</c:v>
                </c:pt>
                <c:pt idx="3">
                  <c:v>161.71936156753</c:v>
                </c:pt>
                <c:pt idx="4">
                  <c:v>145.413950978184</c:v>
                </c:pt>
                <c:pt idx="5">
                  <c:v>130.21013962549401</c:v>
                </c:pt>
                <c:pt idx="6">
                  <c:v>121.901387212359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B-4F30-BBEE-B3A567A11D99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qmcpack!$I$58:$I$64</c:f>
              <c:numCache>
                <c:formatCode>General</c:formatCode>
                <c:ptCount val="7"/>
                <c:pt idx="0">
                  <c:v>83.590714133633597</c:v>
                </c:pt>
                <c:pt idx="1">
                  <c:v>83.421267914312097</c:v>
                </c:pt>
                <c:pt idx="2">
                  <c:v>83.162366057136296</c:v>
                </c:pt>
                <c:pt idx="3">
                  <c:v>83.012677095926904</c:v>
                </c:pt>
                <c:pt idx="4">
                  <c:v>82.758563159816802</c:v>
                </c:pt>
                <c:pt idx="5">
                  <c:v>82.654226390284407</c:v>
                </c:pt>
                <c:pt idx="6">
                  <c:v>82.541603483711697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EB-4F30-BBEE-B3A567A11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qmcpack!$Q$3:$Q$9</c:f>
              <c:numCache>
                <c:formatCode>General</c:formatCode>
                <c:ptCount val="7"/>
                <c:pt idx="0">
                  <c:v>0.68939227088837651</c:v>
                </c:pt>
                <c:pt idx="1">
                  <c:v>0.90078716460216535</c:v>
                </c:pt>
                <c:pt idx="2">
                  <c:v>1.3501838893074338</c:v>
                </c:pt>
                <c:pt idx="3">
                  <c:v>1.5281493449695962</c:v>
                </c:pt>
                <c:pt idx="4">
                  <c:v>2.0927758836208543</c:v>
                </c:pt>
                <c:pt idx="5">
                  <c:v>2.4672707399730589</c:v>
                </c:pt>
                <c:pt idx="6">
                  <c:v>3.86155872711005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A-4F6A-870B-1A077AD9A11E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qmcpack!$Q$13:$Q$19</c:f>
              <c:numCache>
                <c:formatCode>General</c:formatCode>
                <c:ptCount val="7"/>
                <c:pt idx="0">
                  <c:v>0.18722796127547595</c:v>
                </c:pt>
                <c:pt idx="1">
                  <c:v>0.23481120092563035</c:v>
                </c:pt>
                <c:pt idx="2">
                  <c:v>0.40139587809931704</c:v>
                </c:pt>
                <c:pt idx="3">
                  <c:v>0.49930926858668612</c:v>
                </c:pt>
                <c:pt idx="4">
                  <c:v>0.92396166043264705</c:v>
                </c:pt>
                <c:pt idx="5">
                  <c:v>1.2306479504137153</c:v>
                </c:pt>
                <c:pt idx="6">
                  <c:v>2.3981561536596914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A-4F6A-870B-1A077AD9A11E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qmcpack!$Q$24:$Q$30</c:f>
              <c:numCache>
                <c:formatCode>General</c:formatCode>
                <c:ptCount val="7"/>
                <c:pt idx="0">
                  <c:v>0.82785555798089083</c:v>
                </c:pt>
                <c:pt idx="1">
                  <c:v>1.2902250063385474</c:v>
                </c:pt>
                <c:pt idx="2">
                  <c:v>2.7860253996781492</c:v>
                </c:pt>
                <c:pt idx="3">
                  <c:v>3.5589407290262933</c:v>
                </c:pt>
                <c:pt idx="4">
                  <c:v>5.4802824489621713</c:v>
                </c:pt>
                <c:pt idx="5">
                  <c:v>6.3814905122950476</c:v>
                </c:pt>
                <c:pt idx="6">
                  <c:v>8.6176294680873724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4A-4F6A-870B-1A077AD9A11E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qmcpack!$Q$35:$Q$41</c:f>
              <c:numCache>
                <c:formatCode>General</c:formatCode>
                <c:ptCount val="7"/>
                <c:pt idx="0">
                  <c:v>9.6257332330849312</c:v>
                </c:pt>
                <c:pt idx="1">
                  <c:v>10.565010941372872</c:v>
                </c:pt>
                <c:pt idx="2">
                  <c:v>12.805973064404455</c:v>
                </c:pt>
                <c:pt idx="3">
                  <c:v>13.98485051735307</c:v>
                </c:pt>
                <c:pt idx="4">
                  <c:v>17.166230805337602</c:v>
                </c:pt>
                <c:pt idx="5">
                  <c:v>18.191813342899099</c:v>
                </c:pt>
                <c:pt idx="6">
                  <c:v>20.094544833441301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4A-4F6A-870B-1A077AD9A11E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qmcpack!$Q$46:$Q$53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4A-4F6A-870B-1A077AD9A11E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qmcpack!$Q$58:$Q$64</c:f>
              <c:numCache>
                <c:formatCode>General</c:formatCode>
                <c:ptCount val="7"/>
                <c:pt idx="0">
                  <c:v>1.0569304945817168</c:v>
                </c:pt>
                <c:pt idx="1">
                  <c:v>1.4486064013936737</c:v>
                </c:pt>
                <c:pt idx="2">
                  <c:v>2.1721161633333854</c:v>
                </c:pt>
                <c:pt idx="3">
                  <c:v>2.4223980305685955</c:v>
                </c:pt>
                <c:pt idx="4">
                  <c:v>3.1508042684882764</c:v>
                </c:pt>
                <c:pt idx="5">
                  <c:v>3.6150740748730246</c:v>
                </c:pt>
                <c:pt idx="6">
                  <c:v>5.071029514231661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61.991796667126998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4A-4F6A-870B-1A077AD9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qmcpack!$T$3:$T$9</c:f>
              <c:numCache>
                <c:formatCode>General</c:formatCode>
                <c:ptCount val="7"/>
                <c:pt idx="0">
                  <c:v>3.4801363888484551</c:v>
                </c:pt>
                <c:pt idx="1">
                  <c:v>3.8784348652822764</c:v>
                </c:pt>
                <c:pt idx="2">
                  <c:v>4.8074766293082121</c:v>
                </c:pt>
                <c:pt idx="3">
                  <c:v>5.2135387180188708</c:v>
                </c:pt>
                <c:pt idx="4">
                  <c:v>6.3972846634260385</c:v>
                </c:pt>
                <c:pt idx="5">
                  <c:v>7.1770443350000139</c:v>
                </c:pt>
                <c:pt idx="6">
                  <c:v>9.9026180871329927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B-AC4C-A077-6F14E27415EA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qmcpack!$T$13:$T$19</c:f>
              <c:numCache>
                <c:formatCode>General</c:formatCode>
                <c:ptCount val="7"/>
                <c:pt idx="0">
                  <c:v>3.3962665806489158</c:v>
                </c:pt>
                <c:pt idx="1">
                  <c:v>3.4741688391840837</c:v>
                </c:pt>
                <c:pt idx="2">
                  <c:v>3.8401890997949897</c:v>
                </c:pt>
                <c:pt idx="3">
                  <c:v>4.0375921062577715</c:v>
                </c:pt>
                <c:pt idx="4">
                  <c:v>4.9217834880025313</c:v>
                </c:pt>
                <c:pt idx="5">
                  <c:v>5.5452895699697766</c:v>
                </c:pt>
                <c:pt idx="6">
                  <c:v>7.8287663114512984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B-AC4C-A077-6F14E27415EA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qmcpack!$T$24:$T$30</c:f>
              <c:numCache>
                <c:formatCode>General</c:formatCode>
                <c:ptCount val="7"/>
                <c:pt idx="0">
                  <c:v>2.4419174068473803</c:v>
                </c:pt>
                <c:pt idx="1">
                  <c:v>3.3958172121520649</c:v>
                </c:pt>
                <c:pt idx="2">
                  <c:v>6.2664473274185575</c:v>
                </c:pt>
                <c:pt idx="3">
                  <c:v>7.7560297660636657</c:v>
                </c:pt>
                <c:pt idx="4">
                  <c:v>11.480317769116349</c:v>
                </c:pt>
                <c:pt idx="5">
                  <c:v>13.224247952763086</c:v>
                </c:pt>
                <c:pt idx="6">
                  <c:v>17.538362276381587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B-AC4C-A077-6F14E27415EA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qmcpack!$T$35:$T$41</c:f>
              <c:numCache>
                <c:formatCode>General</c:formatCode>
                <c:ptCount val="7"/>
                <c:pt idx="0">
                  <c:v>18.540479289121599</c:v>
                </c:pt>
                <c:pt idx="1">
                  <c:v>20.312740948380569</c:v>
                </c:pt>
                <c:pt idx="2">
                  <c:v>24.537976477813636</c:v>
                </c:pt>
                <c:pt idx="3">
                  <c:v>26.740308494151748</c:v>
                </c:pt>
                <c:pt idx="4">
                  <c:v>32.662791804415697</c:v>
                </c:pt>
                <c:pt idx="5">
                  <c:v>34.578445324230358</c:v>
                </c:pt>
                <c:pt idx="6">
                  <c:v>38.148663649517729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FB-AC4C-A077-6F14E27415EA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qmcpack!$T$46:$T$53</c:f>
              <c:numCache>
                <c:formatCode>General</c:formatCode>
                <c:ptCount val="8"/>
                <c:pt idx="0">
                  <c:v>1.3150088789489762</c:v>
                </c:pt>
                <c:pt idx="1">
                  <c:v>2.3454273578979556</c:v>
                </c:pt>
                <c:pt idx="2">
                  <c:v>4.4836792157959104</c:v>
                </c:pt>
                <c:pt idx="3">
                  <c:v>8.8778474315918015</c:v>
                </c:pt>
                <c:pt idx="4">
                  <c:v>13.120693247387717</c:v>
                </c:pt>
                <c:pt idx="5">
                  <c:v>17.304520663183602</c:v>
                </c:pt>
                <c:pt idx="6">
                  <c:v>25.841268894775432</c:v>
                </c:pt>
                <c:pt idx="7">
                  <c:v>34.806313426367296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FB-AC4C-A077-6F14E27415EA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qmcpack!$T$58:$T$64</c:f>
              <c:numCache>
                <c:formatCode>General</c:formatCode>
                <c:ptCount val="7"/>
                <c:pt idx="0">
                  <c:v>3.4126209596886001</c:v>
                </c:pt>
                <c:pt idx="1">
                  <c:v>4.1405597637152303</c:v>
                </c:pt>
                <c:pt idx="2">
                  <c:v>5.4772991902928574</c:v>
                </c:pt>
                <c:pt idx="3">
                  <c:v>5.9423578818330318</c:v>
                </c:pt>
                <c:pt idx="4">
                  <c:v>7.2945366061339332</c:v>
                </c:pt>
                <c:pt idx="5">
                  <c:v>8.1551557941277046</c:v>
                </c:pt>
                <c:pt idx="6">
                  <c:v>10.852772091929619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61.991796667126998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FB-AC4C-A077-6F14E2741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S3D!$C$3:$C$9</c:f>
              <c:numCache>
                <c:formatCode>General</c:formatCode>
                <c:ptCount val="7"/>
                <c:pt idx="0">
                  <c:v>1.1383548880000001</c:v>
                </c:pt>
                <c:pt idx="1">
                  <c:v>1.1916094850000001</c:v>
                </c:pt>
                <c:pt idx="2">
                  <c:v>1.3673355110000001</c:v>
                </c:pt>
                <c:pt idx="3">
                  <c:v>1.4823582769999999</c:v>
                </c:pt>
                <c:pt idx="4">
                  <c:v>1.8417936479999999</c:v>
                </c:pt>
                <c:pt idx="5">
                  <c:v>2.0625674460000001</c:v>
                </c:pt>
                <c:pt idx="6">
                  <c:v>2.887636257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45.353346379999998</c:v>
                </c:pt>
                <c:pt idx="1">
                  <c:v>52.131830119999996</c:v>
                </c:pt>
                <c:pt idx="2">
                  <c:v>66.169708659999998</c:v>
                </c:pt>
                <c:pt idx="3">
                  <c:v>71.896566500000006</c:v>
                </c:pt>
                <c:pt idx="4">
                  <c:v>85.100552649999997</c:v>
                </c:pt>
                <c:pt idx="5">
                  <c:v>91.098161790000006</c:v>
                </c:pt>
                <c:pt idx="6">
                  <c:v>105.0871836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C-4BD8-9003-2E650B0252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S3D!$C$13:$C$19</c:f>
              <c:numCache>
                <c:formatCode>General</c:formatCode>
                <c:ptCount val="7"/>
                <c:pt idx="0">
                  <c:v>1.0805522445967699</c:v>
                </c:pt>
                <c:pt idx="1">
                  <c:v>1.08422214530948</c:v>
                </c:pt>
                <c:pt idx="2">
                  <c:v>1.10645939036215</c:v>
                </c:pt>
                <c:pt idx="3">
                  <c:v>1.1244252414253</c:v>
                </c:pt>
                <c:pt idx="4">
                  <c:v>1.2264238318089999</c:v>
                </c:pt>
                <c:pt idx="5">
                  <c:v>1.3102427050854799</c:v>
                </c:pt>
                <c:pt idx="6">
                  <c:v>1.7124745315091801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C-4BD8-9003-2E650B0252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S3D!$C$24:$C$30</c:f>
              <c:numCache>
                <c:formatCode>General</c:formatCode>
                <c:ptCount val="7"/>
                <c:pt idx="0">
                  <c:v>4.4516495794320798</c:v>
                </c:pt>
                <c:pt idx="1">
                  <c:v>5.2513071711389303</c:v>
                </c:pt>
                <c:pt idx="2">
                  <c:v>7.1674264915480901</c:v>
                </c:pt>
                <c:pt idx="3">
                  <c:v>8.0485275950339101</c:v>
                </c:pt>
                <c:pt idx="4">
                  <c:v>10.237800082539801</c:v>
                </c:pt>
                <c:pt idx="5">
                  <c:v>11.1598455729991</c:v>
                </c:pt>
                <c:pt idx="6">
                  <c:v>13.3061386822886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C-4BD8-9003-2E650B0252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S3D!$C$35:$C$39</c:f>
              <c:numCache>
                <c:formatCode>General</c:formatCode>
                <c:ptCount val="5"/>
                <c:pt idx="0">
                  <c:v>1.64028342209114</c:v>
                </c:pt>
                <c:pt idx="1">
                  <c:v>2.0507870240464001</c:v>
                </c:pt>
                <c:pt idx="2">
                  <c:v>3.4354157143053299</c:v>
                </c:pt>
                <c:pt idx="3">
                  <c:v>4.1543848292033703</c:v>
                </c:pt>
                <c:pt idx="4">
                  <c:v>6.3615762008789503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DC-4BD8-9003-2E650B0252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DC-4BD8-9003-2E650B0252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S3D!$C$58:$C$64</c:f>
              <c:numCache>
                <c:formatCode>General</c:formatCode>
                <c:ptCount val="7"/>
                <c:pt idx="0">
                  <c:v>2.0619639340469398</c:v>
                </c:pt>
                <c:pt idx="1">
                  <c:v>2.2629003982127198</c:v>
                </c:pt>
                <c:pt idx="2">
                  <c:v>2.707039871004</c:v>
                </c:pt>
                <c:pt idx="3">
                  <c:v>2.90591607314385</c:v>
                </c:pt>
                <c:pt idx="4">
                  <c:v>3.5565988611991601</c:v>
                </c:pt>
                <c:pt idx="5">
                  <c:v>3.9812131928966998</c:v>
                </c:pt>
                <c:pt idx="6">
                  <c:v>5.31315743833522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2.0916462156385598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DC-4BD8-9003-2E650B02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S3D!$H$3:$H$9</c:f>
              <c:numCache>
                <c:formatCode>General</c:formatCode>
                <c:ptCount val="7"/>
                <c:pt idx="0">
                  <c:v>7.8401847780000002</c:v>
                </c:pt>
                <c:pt idx="1">
                  <c:v>7.8615656339999997</c:v>
                </c:pt>
                <c:pt idx="2">
                  <c:v>7.9511857839999998</c:v>
                </c:pt>
                <c:pt idx="3">
                  <c:v>7.9281562069999998</c:v>
                </c:pt>
                <c:pt idx="4">
                  <c:v>7.8504133329999997</c:v>
                </c:pt>
                <c:pt idx="5">
                  <c:v>7.8175518180000001</c:v>
                </c:pt>
                <c:pt idx="6">
                  <c:v>7.822254117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C-4C43-8906-DF45DAA52CB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S3D!$H$13:$H$19</c:f>
              <c:numCache>
                <c:formatCode>General</c:formatCode>
                <c:ptCount val="7"/>
                <c:pt idx="0">
                  <c:v>7.7241239306049403</c:v>
                </c:pt>
                <c:pt idx="1">
                  <c:v>7.7431544677779103</c:v>
                </c:pt>
                <c:pt idx="2">
                  <c:v>7.8408960082168999</c:v>
                </c:pt>
                <c:pt idx="3">
                  <c:v>7.6802717032832399</c:v>
                </c:pt>
                <c:pt idx="4">
                  <c:v>7.7967684912495097</c:v>
                </c:pt>
                <c:pt idx="5">
                  <c:v>7.812599417575</c:v>
                </c:pt>
                <c:pt idx="6">
                  <c:v>7.79905388498213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C-4C43-8906-DF45DAA52CB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S3D!$H$24:$H$30</c:f>
              <c:numCache>
                <c:formatCode>General</c:formatCode>
                <c:ptCount val="7"/>
                <c:pt idx="0">
                  <c:v>77.969704259402704</c:v>
                </c:pt>
                <c:pt idx="1">
                  <c:v>73.733340527569098</c:v>
                </c:pt>
                <c:pt idx="2">
                  <c:v>64.422931852725995</c:v>
                </c:pt>
                <c:pt idx="3">
                  <c:v>60.849567371295301</c:v>
                </c:pt>
                <c:pt idx="4">
                  <c:v>53.312474062521098</c:v>
                </c:pt>
                <c:pt idx="5">
                  <c:v>50.647007050636802</c:v>
                </c:pt>
                <c:pt idx="6">
                  <c:v>45.521963400183097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C-4C43-8906-DF45DAA52CB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S3D!$H$35:$H$41</c:f>
              <c:numCache>
                <c:formatCode>General</c:formatCode>
                <c:ptCount val="7"/>
                <c:pt idx="0">
                  <c:v>259.48172602888502</c:v>
                </c:pt>
                <c:pt idx="1">
                  <c:v>250.20872937989299</c:v>
                </c:pt>
                <c:pt idx="2">
                  <c:v>213.38144932931601</c:v>
                </c:pt>
                <c:pt idx="3">
                  <c:v>203.42215654437999</c:v>
                </c:pt>
                <c:pt idx="4">
                  <c:v>181.701621682385</c:v>
                </c:pt>
                <c:pt idx="5">
                  <c:v>176.73904110884499</c:v>
                </c:pt>
                <c:pt idx="6">
                  <c:v>168.87750779237999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C-4C43-8906-DF45DAA52CB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S3D!$H$47:$H$53</c:f>
              <c:numCache>
                <c:formatCode>General</c:formatCode>
                <c:ptCount val="7"/>
                <c:pt idx="0">
                  <c:v>346.095683975702</c:v>
                </c:pt>
                <c:pt idx="1">
                  <c:v>230.31554882241301</c:v>
                </c:pt>
                <c:pt idx="2">
                  <c:v>108.21577353267899</c:v>
                </c:pt>
                <c:pt idx="3">
                  <c:v>88.187999970938804</c:v>
                </c:pt>
                <c:pt idx="4">
                  <c:v>78.102551208447494</c:v>
                </c:pt>
                <c:pt idx="5">
                  <c:v>61.657203871744997</c:v>
                </c:pt>
                <c:pt idx="6">
                  <c:v>40.205200823167601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9C-4C43-8906-DF45DAA52CB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S3D!$H$58:$H$64</c:f>
              <c:numCache>
                <c:formatCode>General</c:formatCode>
                <c:ptCount val="7"/>
                <c:pt idx="0">
                  <c:v>78.450192554899402</c:v>
                </c:pt>
                <c:pt idx="1">
                  <c:v>78.470304866125304</c:v>
                </c:pt>
                <c:pt idx="2">
                  <c:v>78.471827611439906</c:v>
                </c:pt>
                <c:pt idx="3">
                  <c:v>78.451065521713303</c:v>
                </c:pt>
                <c:pt idx="4">
                  <c:v>78.435829807050993</c:v>
                </c:pt>
                <c:pt idx="5">
                  <c:v>78.403394639901506</c:v>
                </c:pt>
                <c:pt idx="6">
                  <c:v>78.334313681580497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9C-4C43-8906-DF45DAA52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S3D!$I$3:$I$9</c:f>
              <c:numCache>
                <c:formatCode>General</c:formatCode>
                <c:ptCount val="7"/>
                <c:pt idx="0">
                  <c:v>44.129428470000001</c:v>
                </c:pt>
                <c:pt idx="1">
                  <c:v>43.852136219999998</c:v>
                </c:pt>
                <c:pt idx="2">
                  <c:v>42.285901549999998</c:v>
                </c:pt>
                <c:pt idx="3">
                  <c:v>41.511922419999998</c:v>
                </c:pt>
                <c:pt idx="4">
                  <c:v>39.305372980000001</c:v>
                </c:pt>
                <c:pt idx="5">
                  <c:v>38.128543430000001</c:v>
                </c:pt>
                <c:pt idx="6">
                  <c:v>36.918647890000003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6-412C-ADAA-4C4288B6B0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S3D!$I$13:$I$19</c:f>
              <c:numCache>
                <c:formatCode>General</c:formatCode>
                <c:ptCount val="7"/>
                <c:pt idx="0">
                  <c:v>7.8769420123338101</c:v>
                </c:pt>
                <c:pt idx="1">
                  <c:v>7.7237038111625003</c:v>
                </c:pt>
                <c:pt idx="2">
                  <c:v>7.7734083493943498</c:v>
                </c:pt>
                <c:pt idx="3">
                  <c:v>7.6566619993165803</c:v>
                </c:pt>
                <c:pt idx="4">
                  <c:v>7.4184549056119904</c:v>
                </c:pt>
                <c:pt idx="5">
                  <c:v>7.2245149337346204</c:v>
                </c:pt>
                <c:pt idx="6">
                  <c:v>7.4004801992864397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56-412C-ADAA-4C4288B6B0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S3D!$I$24:$I$30</c:f>
              <c:numCache>
                <c:formatCode>General</c:formatCode>
                <c:ptCount val="7"/>
                <c:pt idx="0">
                  <c:v>162.57539560955601</c:v>
                </c:pt>
                <c:pt idx="1">
                  <c:v>142.79547409367299</c:v>
                </c:pt>
                <c:pt idx="2">
                  <c:v>121.341112824924</c:v>
                </c:pt>
                <c:pt idx="3">
                  <c:v>115.693907175142</c:v>
                </c:pt>
                <c:pt idx="4">
                  <c:v>106.79355531289499</c:v>
                </c:pt>
                <c:pt idx="5">
                  <c:v>103.83611481376199</c:v>
                </c:pt>
                <c:pt idx="6">
                  <c:v>97.739643242497394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56-412C-ADAA-4C4288B6B0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S3D!$I$35:$I$41</c:f>
              <c:numCache>
                <c:formatCode>General</c:formatCode>
                <c:ptCount val="7"/>
                <c:pt idx="0">
                  <c:v>4625.9409297830398</c:v>
                </c:pt>
                <c:pt idx="1">
                  <c:v>2932.8574889227798</c:v>
                </c:pt>
                <c:pt idx="2">
                  <c:v>1394.43519691645</c:v>
                </c:pt>
                <c:pt idx="3">
                  <c:v>1345.54894608429</c:v>
                </c:pt>
                <c:pt idx="4">
                  <c:v>289.17832784241801</c:v>
                </c:pt>
                <c:pt idx="5">
                  <c:v>268.51473806777301</c:v>
                </c:pt>
                <c:pt idx="6">
                  <c:v>214.848040472468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56-412C-ADAA-4C4288B6B0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S3D!$I$47:$I$53</c:f>
              <c:numCache>
                <c:formatCode>General</c:formatCode>
                <c:ptCount val="7"/>
                <c:pt idx="0">
                  <c:v>358.22840036963203</c:v>
                </c:pt>
                <c:pt idx="1">
                  <c:v>249.29245228543601</c:v>
                </c:pt>
                <c:pt idx="2">
                  <c:v>174.579514264479</c:v>
                </c:pt>
                <c:pt idx="3">
                  <c:v>148.16008573857201</c:v>
                </c:pt>
                <c:pt idx="4">
                  <c:v>138.550855005843</c:v>
                </c:pt>
                <c:pt idx="5">
                  <c:v>131.637317266238</c:v>
                </c:pt>
                <c:pt idx="6">
                  <c:v>129.05512174111499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56-412C-ADAA-4C4288B6B0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S3D!$I$58:$I$64</c:f>
              <c:numCache>
                <c:formatCode>General</c:formatCode>
                <c:ptCount val="7"/>
                <c:pt idx="0">
                  <c:v>82.621020834463494</c:v>
                </c:pt>
                <c:pt idx="1">
                  <c:v>82.596565894967796</c:v>
                </c:pt>
                <c:pt idx="2">
                  <c:v>82.527122438349593</c:v>
                </c:pt>
                <c:pt idx="3">
                  <c:v>82.468845337997607</c:v>
                </c:pt>
                <c:pt idx="4">
                  <c:v>82.411020722370694</c:v>
                </c:pt>
                <c:pt idx="5">
                  <c:v>82.385067355015394</c:v>
                </c:pt>
                <c:pt idx="6">
                  <c:v>82.301601196985501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56-412C-ADAA-4C4288B6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S3D!$Q$3:$Q$9</c:f>
              <c:numCache>
                <c:formatCode>General</c:formatCode>
                <c:ptCount val="7"/>
                <c:pt idx="0">
                  <c:v>0.74690323199955311</c:v>
                </c:pt>
                <c:pt idx="1">
                  <c:v>0.85543444830218829</c:v>
                </c:pt>
                <c:pt idx="2">
                  <c:v>1.1234808519543311</c:v>
                </c:pt>
                <c:pt idx="3">
                  <c:v>1.262678545729496</c:v>
                </c:pt>
                <c:pt idx="4">
                  <c:v>1.6837915473466059</c:v>
                </c:pt>
                <c:pt idx="5">
                  <c:v>1.9284789832172782</c:v>
                </c:pt>
                <c:pt idx="6">
                  <c:v>2.7809638321906172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45.353346379999998</c:v>
                </c:pt>
                <c:pt idx="1">
                  <c:v>52.131830119999996</c:v>
                </c:pt>
                <c:pt idx="2">
                  <c:v>66.169708659999998</c:v>
                </c:pt>
                <c:pt idx="3">
                  <c:v>71.896566500000006</c:v>
                </c:pt>
                <c:pt idx="4">
                  <c:v>85.100552649999997</c:v>
                </c:pt>
                <c:pt idx="5">
                  <c:v>91.098161790000006</c:v>
                </c:pt>
                <c:pt idx="6">
                  <c:v>105.0871836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0-47DD-ACEB-268BF529D440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S3D!$Q$13:$Q$19</c:f>
              <c:numCache>
                <c:formatCode>General</c:formatCode>
                <c:ptCount val="7"/>
                <c:pt idx="0">
                  <c:v>0.12698434162814556</c:v>
                </c:pt>
                <c:pt idx="1">
                  <c:v>0.1414621166396226</c:v>
                </c:pt>
                <c:pt idx="2">
                  <c:v>0.22794018230953786</c:v>
                </c:pt>
                <c:pt idx="3">
                  <c:v>0.28320470909038031</c:v>
                </c:pt>
                <c:pt idx="4">
                  <c:v>0.54167405237009225</c:v>
                </c:pt>
                <c:pt idx="5">
                  <c:v>0.71533872821775313</c:v>
                </c:pt>
                <c:pt idx="6">
                  <c:v>1.2999357568629863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0-47DD-ACEB-268BF529D440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S3D!$Q$24:$Q$30</c:f>
              <c:numCache>
                <c:formatCode>General</c:formatCode>
                <c:ptCount val="7"/>
                <c:pt idx="0">
                  <c:v>1.6969196149382944</c:v>
                </c:pt>
                <c:pt idx="1">
                  <c:v>2.1909044316811874</c:v>
                </c:pt>
                <c:pt idx="2">
                  <c:v>3.6333886329586642</c:v>
                </c:pt>
                <c:pt idx="3">
                  <c:v>4.3734142902907758</c:v>
                </c:pt>
                <c:pt idx="4">
                  <c:v>6.3578288515983745</c:v>
                </c:pt>
                <c:pt idx="5">
                  <c:v>7.2322267952042383</c:v>
                </c:pt>
                <c:pt idx="6">
                  <c:v>9.2632872768831902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60-47DD-ACEB-268BF529D440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S3D!$Q$35:$Q$41</c:f>
              <c:numCache>
                <c:formatCode>General</c:formatCode>
                <c:ptCount val="7"/>
                <c:pt idx="0">
                  <c:v>1.6064892986398613</c:v>
                </c:pt>
                <c:pt idx="1">
                  <c:v>2.0195530651107472</c:v>
                </c:pt>
                <c:pt idx="2">
                  <c:v>3.3792422599147107</c:v>
                </c:pt>
                <c:pt idx="3">
                  <c:v>4.0819746403836259</c:v>
                </c:pt>
                <c:pt idx="4">
                  <c:v>6.3195855988929841</c:v>
                </c:pt>
                <c:pt idx="5">
                  <c:v>7.152141748270151</c:v>
                </c:pt>
                <c:pt idx="6">
                  <c:v>8.6816215439191353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60-47DD-ACEB-268BF529D440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S3D!$Q$46:$Q$53</c:f>
              <c:numCache>
                <c:formatCode>General</c:formatCode>
                <c:ptCount val="8"/>
                <c:pt idx="0">
                  <c:v>0.30987573226005172</c:v>
                </c:pt>
                <c:pt idx="1">
                  <c:v>0.9173226597104126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7.9735973597360186</c:v>
                </c:pt>
                <c:pt idx="6">
                  <c:v>10.693166790029284</c:v>
                </c:pt>
                <c:pt idx="7">
                  <c:v>12.369051228605477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60-47DD-ACEB-268BF529D440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S3D!$Q$58:$Q$64</c:f>
              <c:numCache>
                <c:formatCode>General</c:formatCode>
                <c:ptCount val="7"/>
                <c:pt idx="0">
                  <c:v>1.2507465717993658</c:v>
                </c:pt>
                <c:pt idx="1">
                  <c:v>1.5016548742080102</c:v>
                </c:pt>
                <c:pt idx="2">
                  <c:v>1.9799942428868702</c:v>
                </c:pt>
                <c:pt idx="3">
                  <c:v>2.1726606317877892</c:v>
                </c:pt>
                <c:pt idx="4">
                  <c:v>2.7676097445380963</c:v>
                </c:pt>
                <c:pt idx="5">
                  <c:v>3.103616122083197</c:v>
                </c:pt>
                <c:pt idx="6">
                  <c:v>4.193425219480698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2.0916462156385598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60-47DD-ACEB-268BF529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S3D!$T$3:$T$9</c:f>
              <c:numCache>
                <c:formatCode>General</c:formatCode>
                <c:ptCount val="7"/>
                <c:pt idx="0">
                  <c:v>72.874309038443826</c:v>
                </c:pt>
                <c:pt idx="1">
                  <c:v>74.214787418306699</c:v>
                </c:pt>
                <c:pt idx="2">
                  <c:v>77.490421526658608</c:v>
                </c:pt>
                <c:pt idx="3">
                  <c:v>79.668100244865258</c:v>
                </c:pt>
                <c:pt idx="4">
                  <c:v>86.314528667327451</c:v>
                </c:pt>
                <c:pt idx="5">
                  <c:v>90.097783647264805</c:v>
                </c:pt>
                <c:pt idx="6">
                  <c:v>101.6819705695315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45.353346379999998</c:v>
                </c:pt>
                <c:pt idx="1">
                  <c:v>52.131830119999996</c:v>
                </c:pt>
                <c:pt idx="2">
                  <c:v>66.169708659999998</c:v>
                </c:pt>
                <c:pt idx="3">
                  <c:v>71.896566500000006</c:v>
                </c:pt>
                <c:pt idx="4">
                  <c:v>85.100552649999997</c:v>
                </c:pt>
                <c:pt idx="5">
                  <c:v>91.098161790000006</c:v>
                </c:pt>
                <c:pt idx="6">
                  <c:v>105.0871836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B-F844-87F1-9CDD0D4FFE98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S3D!$T$13:$T$19</c:f>
              <c:numCache>
                <c:formatCode>General</c:formatCode>
                <c:ptCount val="7"/>
                <c:pt idx="0">
                  <c:v>109.23013532670259</c:v>
                </c:pt>
                <c:pt idx="1">
                  <c:v>110.34255896819671</c:v>
                </c:pt>
                <c:pt idx="2">
                  <c:v>110.45681844831489</c:v>
                </c:pt>
                <c:pt idx="3">
                  <c:v>113.12471610608134</c:v>
                </c:pt>
                <c:pt idx="4">
                  <c:v>117.4706216431135</c:v>
                </c:pt>
                <c:pt idx="5">
                  <c:v>121.16721020647648</c:v>
                </c:pt>
                <c:pt idx="6">
                  <c:v>127.58746514273069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EB-F844-87F1-9CDD0D4FFE98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S3D!$T$24:$T$30</c:f>
              <c:numCache>
                <c:formatCode>General</c:formatCode>
                <c:ptCount val="7"/>
                <c:pt idx="0">
                  <c:v>30.519510960678993</c:v>
                </c:pt>
                <c:pt idx="1">
                  <c:v>37.724250721277869</c:v>
                </c:pt>
                <c:pt idx="2">
                  <c:v>58.143346710213592</c:v>
                </c:pt>
                <c:pt idx="3">
                  <c:v>68.482183155988864</c:v>
                </c:pt>
                <c:pt idx="4">
                  <c:v>95.997752610889265</c:v>
                </c:pt>
                <c:pt idx="5">
                  <c:v>108.07782256620416</c:v>
                </c:pt>
                <c:pt idx="6">
                  <c:v>136.09627680472684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EB-F844-87F1-9CDD0D4FFE98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S3D!$T$35:$T$41</c:f>
              <c:numCache>
                <c:formatCode>General</c:formatCode>
                <c:ptCount val="7"/>
                <c:pt idx="0">
                  <c:v>22.942938013750467</c:v>
                </c:pt>
                <c:pt idx="1">
                  <c:v>28.507545485037991</c:v>
                </c:pt>
                <c:pt idx="2">
                  <c:v>46.898282565065593</c:v>
                </c:pt>
                <c:pt idx="3">
                  <c:v>56.297329670225565</c:v>
                </c:pt>
                <c:pt idx="4">
                  <c:v>87.222826061704012</c:v>
                </c:pt>
                <c:pt idx="5">
                  <c:v>98.400747799010986</c:v>
                </c:pt>
                <c:pt idx="6">
                  <c:v>119.09338702421233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EB-F844-87F1-9CDD0D4FFE98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S3D!$T$46:$T$53</c:f>
              <c:numCache>
                <c:formatCode>General</c:formatCode>
                <c:ptCount val="8"/>
                <c:pt idx="0">
                  <c:v>5.9885853869059513</c:v>
                </c:pt>
                <c:pt idx="1">
                  <c:v>14.512450544307345</c:v>
                </c:pt>
                <c:pt idx="2">
                  <c:v>29.934035288054414</c:v>
                </c:pt>
                <c:pt idx="3">
                  <c:v>59.134371495145423</c:v>
                </c:pt>
                <c:pt idx="4">
                  <c:v>86.847945580505609</c:v>
                </c:pt>
                <c:pt idx="5">
                  <c:v>113.7053346403472</c:v>
                </c:pt>
                <c:pt idx="6">
                  <c:v>151.21670085597282</c:v>
                </c:pt>
                <c:pt idx="7">
                  <c:v>177.11726550249915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EB-F844-87F1-9CDD0D4FFE98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S3D!$T$58:$T$64</c:f>
              <c:numCache>
                <c:formatCode>General</c:formatCode>
                <c:ptCount val="7"/>
                <c:pt idx="0">
                  <c:v>27.032664772267132</c:v>
                </c:pt>
                <c:pt idx="1">
                  <c:v>30.345082975831779</c:v>
                </c:pt>
                <c:pt idx="2">
                  <c:v>36.657868455031462</c:v>
                </c:pt>
                <c:pt idx="3">
                  <c:v>39.205035925385999</c:v>
                </c:pt>
                <c:pt idx="4">
                  <c:v>47.065082021602848</c:v>
                </c:pt>
                <c:pt idx="5">
                  <c:v>51.51055675517155</c:v>
                </c:pt>
                <c:pt idx="6">
                  <c:v>65.922250963808452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2.0916462156385598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EB-F844-87F1-9CDD0D4F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nyx!$C$3:$C$9</c:f>
              <c:numCache>
                <c:formatCode>General</c:formatCode>
                <c:ptCount val="7"/>
                <c:pt idx="0">
                  <c:v>1.0574140507137799</c:v>
                </c:pt>
                <c:pt idx="1">
                  <c:v>1.0990056545295399</c:v>
                </c:pt>
                <c:pt idx="2">
                  <c:v>1.3371447390954501</c:v>
                </c:pt>
                <c:pt idx="3">
                  <c:v>1.4766198266100099</c:v>
                </c:pt>
                <c:pt idx="4">
                  <c:v>2.0944392165985599</c:v>
                </c:pt>
                <c:pt idx="5">
                  <c:v>2.61099628260297</c:v>
                </c:pt>
                <c:pt idx="6">
                  <c:v>4.1714623806596904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47.591518909285902</c:v>
                </c:pt>
                <c:pt idx="1">
                  <c:v>53.245517349375199</c:v>
                </c:pt>
                <c:pt idx="2">
                  <c:v>66.252362185989895</c:v>
                </c:pt>
                <c:pt idx="3">
                  <c:v>72.509248442609604</c:v>
                </c:pt>
                <c:pt idx="4">
                  <c:v>85.976176241112896</c:v>
                </c:pt>
                <c:pt idx="5">
                  <c:v>91.572432583151894</c:v>
                </c:pt>
                <c:pt idx="6">
                  <c:v>104.95959289709501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0-4859-A30D-4952BF06E0C0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nyx!$C$13:$C$19</c:f>
              <c:numCache>
                <c:formatCode>General</c:formatCode>
                <c:ptCount val="7"/>
                <c:pt idx="0">
                  <c:v>1.0765670095443201</c:v>
                </c:pt>
                <c:pt idx="1">
                  <c:v>1.0814573813955899</c:v>
                </c:pt>
                <c:pt idx="2">
                  <c:v>1.1381930545107199</c:v>
                </c:pt>
                <c:pt idx="3">
                  <c:v>1.21528565849228</c:v>
                </c:pt>
                <c:pt idx="4">
                  <c:v>1.7042470088963499</c:v>
                </c:pt>
                <c:pt idx="5">
                  <c:v>2.29568206833767</c:v>
                </c:pt>
                <c:pt idx="6">
                  <c:v>3.8444973989356299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F0-4859-A30D-4952BF06E0C0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nyx!$C$24:$C$30</c:f>
              <c:numCache>
                <c:formatCode>General</c:formatCode>
                <c:ptCount val="7"/>
                <c:pt idx="0">
                  <c:v>1.58017009138232</c:v>
                </c:pt>
                <c:pt idx="1">
                  <c:v>1.9846575842335199</c:v>
                </c:pt>
                <c:pt idx="2">
                  <c:v>3.3378586801530901</c:v>
                </c:pt>
                <c:pt idx="3">
                  <c:v>3.9315101470184399</c:v>
                </c:pt>
                <c:pt idx="4">
                  <c:v>5.6234546703720598</c:v>
                </c:pt>
                <c:pt idx="5">
                  <c:v>6.4463212129759704</c:v>
                </c:pt>
                <c:pt idx="6">
                  <c:v>8.4173549321224996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F0-4859-A30D-4952BF06E0C0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nyx!$C$35:$C$39</c:f>
              <c:numCache>
                <c:formatCode>General</c:formatCode>
                <c:ptCount val="5"/>
                <c:pt idx="0">
                  <c:v>17.505542788147601</c:v>
                </c:pt>
                <c:pt idx="1">
                  <c:v>18.592118889804301</c:v>
                </c:pt>
                <c:pt idx="2">
                  <c:v>21.284363874744901</c:v>
                </c:pt>
                <c:pt idx="3">
                  <c:v>17.739114977227398</c:v>
                </c:pt>
                <c:pt idx="4">
                  <c:v>20.104674432679701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F0-4859-A30D-4952BF06E0C0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F0-4859-A30D-4952BF06E0C0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nyx!$C$58:$C$64</c:f>
              <c:numCache>
                <c:formatCode>General</c:formatCode>
                <c:ptCount val="7"/>
                <c:pt idx="0">
                  <c:v>1.26466624726261</c:v>
                </c:pt>
                <c:pt idx="1">
                  <c:v>1.4989059811334</c:v>
                </c:pt>
                <c:pt idx="2">
                  <c:v>2.2171009444212002</c:v>
                </c:pt>
                <c:pt idx="3">
                  <c:v>2.5724071218366</c:v>
                </c:pt>
                <c:pt idx="4">
                  <c:v>3.8101929697122401</c:v>
                </c:pt>
                <c:pt idx="5">
                  <c:v>4.5282744254124303</c:v>
                </c:pt>
                <c:pt idx="6">
                  <c:v>6.5333725373780398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63.067498254273701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F0-4859-A30D-4952BF06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nyx!$H$3:$H$9</c:f>
              <c:numCache>
                <c:formatCode>General</c:formatCode>
                <c:ptCount val="7"/>
                <c:pt idx="0">
                  <c:v>55.857796616645203</c:v>
                </c:pt>
                <c:pt idx="1">
                  <c:v>55.803786637934301</c:v>
                </c:pt>
                <c:pt idx="2">
                  <c:v>55.264584418802499</c:v>
                </c:pt>
                <c:pt idx="3">
                  <c:v>54.936128906674298</c:v>
                </c:pt>
                <c:pt idx="4">
                  <c:v>53.863970422974099</c:v>
                </c:pt>
                <c:pt idx="5">
                  <c:v>52.9587252707205</c:v>
                </c:pt>
                <c:pt idx="6">
                  <c:v>50.501246876177298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0-49BD-BDA3-E90C077F908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nyx!$H$13:$H$19</c:f>
              <c:numCache>
                <c:formatCode>General</c:formatCode>
                <c:ptCount val="7"/>
                <c:pt idx="0">
                  <c:v>41.900791197472998</c:v>
                </c:pt>
                <c:pt idx="1">
                  <c:v>41.877789635219898</c:v>
                </c:pt>
                <c:pt idx="2">
                  <c:v>41.891470388072598</c:v>
                </c:pt>
                <c:pt idx="3">
                  <c:v>41.879403883071497</c:v>
                </c:pt>
                <c:pt idx="4">
                  <c:v>41.406221841127298</c:v>
                </c:pt>
                <c:pt idx="5">
                  <c:v>40.756549903969102</c:v>
                </c:pt>
                <c:pt idx="6">
                  <c:v>39.0625957839272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0-49BD-BDA3-E90C077F908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nyx!$H$24:$H$30</c:f>
              <c:numCache>
                <c:formatCode>General</c:formatCode>
                <c:ptCount val="7"/>
                <c:pt idx="0">
                  <c:v>97.842375062651399</c:v>
                </c:pt>
                <c:pt idx="1">
                  <c:v>94.613850176259504</c:v>
                </c:pt>
                <c:pt idx="2">
                  <c:v>85.154219041846602</c:v>
                </c:pt>
                <c:pt idx="3">
                  <c:v>81.705872616736201</c:v>
                </c:pt>
                <c:pt idx="4">
                  <c:v>73.370665330005707</c:v>
                </c:pt>
                <c:pt idx="5">
                  <c:v>69.674147595551304</c:v>
                </c:pt>
                <c:pt idx="6">
                  <c:v>61.614817110856897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0-49BD-BDA3-E90C077F908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nyx!$H$35:$H$41</c:f>
              <c:numCache>
                <c:formatCode>General</c:formatCode>
                <c:ptCount val="7"/>
                <c:pt idx="0">
                  <c:v>138.002318705417</c:v>
                </c:pt>
                <c:pt idx="1">
                  <c:v>137.12879228600801</c:v>
                </c:pt>
                <c:pt idx="2">
                  <c:v>137.487437911304</c:v>
                </c:pt>
                <c:pt idx="3">
                  <c:v>138.16793353225799</c:v>
                </c:pt>
                <c:pt idx="4">
                  <c:v>136.327664545121</c:v>
                </c:pt>
                <c:pt idx="5">
                  <c:v>134.57140894621199</c:v>
                </c:pt>
                <c:pt idx="6">
                  <c:v>131.835827307588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0-49BD-BDA3-E90C077F908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nyx!$H$47:$H$53</c:f>
              <c:numCache>
                <c:formatCode>General</c:formatCode>
                <c:ptCount val="7"/>
                <c:pt idx="0">
                  <c:v>325.96699975528998</c:v>
                </c:pt>
                <c:pt idx="1">
                  <c:v>182.962905096973</c:v>
                </c:pt>
                <c:pt idx="2">
                  <c:v>109.67027199705601</c:v>
                </c:pt>
                <c:pt idx="3">
                  <c:v>101.29894705618599</c:v>
                </c:pt>
                <c:pt idx="4">
                  <c:v>93.456889668735101</c:v>
                </c:pt>
                <c:pt idx="5">
                  <c:v>70.349659655772598</c:v>
                </c:pt>
                <c:pt idx="6">
                  <c:v>45.526038299238898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E0-49BD-BDA3-E90C077F908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nyx!$H$58:$H$64</c:f>
              <c:numCache>
                <c:formatCode>General</c:formatCode>
                <c:ptCount val="7"/>
                <c:pt idx="0">
                  <c:v>80.485790824528493</c:v>
                </c:pt>
                <c:pt idx="1">
                  <c:v>80.467630682263504</c:v>
                </c:pt>
                <c:pt idx="2">
                  <c:v>80.442920153917996</c:v>
                </c:pt>
                <c:pt idx="3">
                  <c:v>80.395393297253193</c:v>
                </c:pt>
                <c:pt idx="4">
                  <c:v>80.336613151368994</c:v>
                </c:pt>
                <c:pt idx="5">
                  <c:v>80.269151818466497</c:v>
                </c:pt>
                <c:pt idx="6">
                  <c:v>80.176933059965506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E0-49BD-BDA3-E90C077F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nyx!$I$3:$I$9</c:f>
              <c:numCache>
                <c:formatCode>General</c:formatCode>
                <c:ptCount val="7"/>
                <c:pt idx="0">
                  <c:v>48.953407077621499</c:v>
                </c:pt>
                <c:pt idx="1">
                  <c:v>47.914312340915899</c:v>
                </c:pt>
                <c:pt idx="2">
                  <c:v>45.711951178623501</c:v>
                </c:pt>
                <c:pt idx="3">
                  <c:v>44.943153571973497</c:v>
                </c:pt>
                <c:pt idx="4">
                  <c:v>42.156748956222998</c:v>
                </c:pt>
                <c:pt idx="5">
                  <c:v>40.446030040781899</c:v>
                </c:pt>
                <c:pt idx="6">
                  <c:v>37.0675714364803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C-447E-872F-C3B35A03B55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nyx!$I$13:$I$19</c:f>
              <c:numCache>
                <c:formatCode>General</c:formatCode>
                <c:ptCount val="7"/>
                <c:pt idx="0">
                  <c:v>46.308161203658997</c:v>
                </c:pt>
                <c:pt idx="1">
                  <c:v>45.304945651722697</c:v>
                </c:pt>
                <c:pt idx="2">
                  <c:v>41.787938166258698</c:v>
                </c:pt>
                <c:pt idx="3">
                  <c:v>40.871533617871101</c:v>
                </c:pt>
                <c:pt idx="4">
                  <c:v>39.174375590930801</c:v>
                </c:pt>
                <c:pt idx="5">
                  <c:v>37.298208381914101</c:v>
                </c:pt>
                <c:pt idx="6">
                  <c:v>34.143090195848998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C-447E-872F-C3B35A03B55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nyx!$I$24:$I$30</c:f>
              <c:numCache>
                <c:formatCode>General</c:formatCode>
                <c:ptCount val="7"/>
                <c:pt idx="0">
                  <c:v>530.414875523761</c:v>
                </c:pt>
                <c:pt idx="1">
                  <c:v>488.312686637865</c:v>
                </c:pt>
                <c:pt idx="2">
                  <c:v>349.24080312404499</c:v>
                </c:pt>
                <c:pt idx="3">
                  <c:v>321.979895245443</c:v>
                </c:pt>
                <c:pt idx="4">
                  <c:v>244.505354548539</c:v>
                </c:pt>
                <c:pt idx="5">
                  <c:v>208.362303132069</c:v>
                </c:pt>
                <c:pt idx="6">
                  <c:v>136.76780133768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C-447E-872F-C3B35A03B55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nyx!$I$35:$I$41</c:f>
              <c:numCache>
                <c:formatCode>General</c:formatCode>
                <c:ptCount val="7"/>
                <c:pt idx="0">
                  <c:v>137.61095223539201</c:v>
                </c:pt>
                <c:pt idx="1">
                  <c:v>130.57966926781299</c:v>
                </c:pt>
                <c:pt idx="2">
                  <c:v>128.93962118570801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C-447E-872F-C3B35A03B55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nyx!$I$47:$I$53</c:f>
              <c:numCache>
                <c:formatCode>General</c:formatCode>
                <c:ptCount val="7"/>
                <c:pt idx="0">
                  <c:v>370.09845179924599</c:v>
                </c:pt>
                <c:pt idx="1">
                  <c:v>217.71567141585501</c:v>
                </c:pt>
                <c:pt idx="2">
                  <c:v>172.51042169448101</c:v>
                </c:pt>
                <c:pt idx="3">
                  <c:v>160.35765245388899</c:v>
                </c:pt>
                <c:pt idx="4">
                  <c:v>154.55368457269</c:v>
                </c:pt>
                <c:pt idx="5">
                  <c:v>143.465480764467</c:v>
                </c:pt>
                <c:pt idx="6">
                  <c:v>133.794211687287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C-447E-872F-C3B35A03B55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nyx!$I$58:$I$64</c:f>
              <c:numCache>
                <c:formatCode>General</c:formatCode>
                <c:ptCount val="7"/>
                <c:pt idx="0">
                  <c:v>85.426023579813503</c:v>
                </c:pt>
                <c:pt idx="1">
                  <c:v>85.079428400244396</c:v>
                </c:pt>
                <c:pt idx="2">
                  <c:v>84.493966671640294</c:v>
                </c:pt>
                <c:pt idx="3">
                  <c:v>84.363112464675297</c:v>
                </c:pt>
                <c:pt idx="4">
                  <c:v>84.031380400678401</c:v>
                </c:pt>
                <c:pt idx="5">
                  <c:v>83.833156870359502</c:v>
                </c:pt>
                <c:pt idx="6">
                  <c:v>83.639515684726405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BC-447E-872F-C3B35A03B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nyx!$Q$3:$Q$9</c:f>
              <c:numCache>
                <c:formatCode>General</c:formatCode>
                <c:ptCount val="7"/>
                <c:pt idx="0">
                  <c:v>0.44439489529553405</c:v>
                </c:pt>
                <c:pt idx="1">
                  <c:v>0.57444826469577803</c:v>
                </c:pt>
                <c:pt idx="2">
                  <c:v>0.92585591577220738</c:v>
                </c:pt>
                <c:pt idx="3">
                  <c:v>1.1123347723964701</c:v>
                </c:pt>
                <c:pt idx="4">
                  <c:v>1.7843917701075107</c:v>
                </c:pt>
                <c:pt idx="5">
                  <c:v>2.2838118849070796</c:v>
                </c:pt>
                <c:pt idx="6">
                  <c:v>4.0069390552138504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47.591518909285902</c:v>
                </c:pt>
                <c:pt idx="1">
                  <c:v>53.245517349375199</c:v>
                </c:pt>
                <c:pt idx="2">
                  <c:v>66.252362185989895</c:v>
                </c:pt>
                <c:pt idx="3">
                  <c:v>72.509248442609604</c:v>
                </c:pt>
                <c:pt idx="4">
                  <c:v>85.976176241112896</c:v>
                </c:pt>
                <c:pt idx="5">
                  <c:v>91.572432583151894</c:v>
                </c:pt>
                <c:pt idx="6">
                  <c:v>104.95959289709501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F-44CC-B15F-180EC7BC2249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nyx!$Q$13:$Q$19</c:f>
              <c:numCache>
                <c:formatCode>General</c:formatCode>
                <c:ptCount val="7"/>
                <c:pt idx="0">
                  <c:v>0.1207169527624227</c:v>
                </c:pt>
                <c:pt idx="1">
                  <c:v>0.1746178825266094</c:v>
                </c:pt>
                <c:pt idx="2">
                  <c:v>0.47786984799198223</c:v>
                </c:pt>
                <c:pt idx="3">
                  <c:v>0.69047349300025274</c:v>
                </c:pt>
                <c:pt idx="4">
                  <c:v>1.2657498389423401</c:v>
                </c:pt>
                <c:pt idx="5">
                  <c:v>1.9378232008746905</c:v>
                </c:pt>
                <c:pt idx="6">
                  <c:v>3.378338994977498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F-44CC-B15F-180EC7BC2249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nyx!$Q$24:$Q$30</c:f>
              <c:numCache>
                <c:formatCode>General</c:formatCode>
                <c:ptCount val="7"/>
                <c:pt idx="0">
                  <c:v>0.33375325954851615</c:v>
                </c:pt>
                <c:pt idx="1">
                  <c:v>0.58864524444966793</c:v>
                </c:pt>
                <c:pt idx="2">
                  <c:v>1.6875340338445897</c:v>
                </c:pt>
                <c:pt idx="3">
                  <c:v>2.3886936390088498</c:v>
                </c:pt>
                <c:pt idx="4">
                  <c:v>4.2532416751777777</c:v>
                </c:pt>
                <c:pt idx="5">
                  <c:v>5.2709439401848872</c:v>
                </c:pt>
                <c:pt idx="6">
                  <c:v>7.5635493999725529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F-44CC-B15F-180EC7BC2249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nyx!$Q$35:$Q$41</c:f>
              <c:numCache>
                <c:formatCode>General</c:formatCode>
                <c:ptCount val="7"/>
                <c:pt idx="0">
                  <c:v>17.418881685236144</c:v>
                </c:pt>
                <c:pt idx="1">
                  <c:v>18.592118889804301</c:v>
                </c:pt>
                <c:pt idx="2">
                  <c:v>21.284363874744901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8F-44CC-B15F-180EC7BC2249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8F-44CC-B15F-180EC7BC2249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nyx!$Q$58:$Q$64</c:f>
              <c:numCache>
                <c:formatCode>General</c:formatCode>
                <c:ptCount val="7"/>
                <c:pt idx="0">
                  <c:v>0.37864360218185072</c:v>
                </c:pt>
                <c:pt idx="1">
                  <c:v>0.59247418046172839</c:v>
                </c:pt>
                <c:pt idx="2">
                  <c:v>1.2199563553173849</c:v>
                </c:pt>
                <c:pt idx="3">
                  <c:v>1.5376471324507157</c:v>
                </c:pt>
                <c:pt idx="4">
                  <c:v>2.5934760614941568</c:v>
                </c:pt>
                <c:pt idx="5">
                  <c:v>3.2438351615697387</c:v>
                </c:pt>
                <c:pt idx="6">
                  <c:v>5.0753132065044957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63.067498254273701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8F-44CC-B15F-180EC7BC2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nyx!$T$3:$T$9</c:f>
              <c:numCache>
                <c:formatCode>General</c:formatCode>
                <c:ptCount val="7"/>
                <c:pt idx="0">
                  <c:v>15.748094258440119</c:v>
                </c:pt>
                <c:pt idx="1">
                  <c:v>17.105877056041805</c:v>
                </c:pt>
                <c:pt idx="2">
                  <c:v>20.777667493859219</c:v>
                </c:pt>
                <c:pt idx="3">
                  <c:v>22.681939712648411</c:v>
                </c:pt>
                <c:pt idx="4">
                  <c:v>29.58220004385748</c:v>
                </c:pt>
                <c:pt idx="5">
                  <c:v>34.707409916372143</c:v>
                </c:pt>
                <c:pt idx="6">
                  <c:v>51.9542919518492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47.591518909285902</c:v>
                </c:pt>
                <c:pt idx="1">
                  <c:v>53.245517349375199</c:v>
                </c:pt>
                <c:pt idx="2">
                  <c:v>66.252362185989895</c:v>
                </c:pt>
                <c:pt idx="3">
                  <c:v>72.509248442609604</c:v>
                </c:pt>
                <c:pt idx="4">
                  <c:v>85.976176241112896</c:v>
                </c:pt>
                <c:pt idx="5">
                  <c:v>91.572432583151894</c:v>
                </c:pt>
                <c:pt idx="6">
                  <c:v>104.95959289709501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E-204D-B5F7-889E9A6A7E7F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nyx!$T$13:$T$19</c:f>
              <c:numCache>
                <c:formatCode>General</c:formatCode>
                <c:ptCount val="7"/>
                <c:pt idx="0">
                  <c:v>14.841384843996815</c:v>
                </c:pt>
                <c:pt idx="1">
                  <c:v>15.495435842281786</c:v>
                </c:pt>
                <c:pt idx="2">
                  <c:v>18.907881601991967</c:v>
                </c:pt>
                <c:pt idx="3">
                  <c:v>21.071921054055721</c:v>
                </c:pt>
                <c:pt idx="4">
                  <c:v>26.903233846400425</c:v>
                </c:pt>
                <c:pt idx="5">
                  <c:v>33.749283400325865</c:v>
                </c:pt>
                <c:pt idx="6">
                  <c:v>48.451864434018603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E-204D-B5F7-889E9A6A7E7F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nyx!$T$24:$T$30</c:f>
              <c:numCache>
                <c:formatCode>General</c:formatCode>
                <c:ptCount val="7"/>
                <c:pt idx="0">
                  <c:v>6.860122816374207</c:v>
                </c:pt>
                <c:pt idx="1">
                  <c:v>9.4372937513518629</c:v>
                </c:pt>
                <c:pt idx="2">
                  <c:v>20.447260696906874</c:v>
                </c:pt>
                <c:pt idx="3">
                  <c:v>27.301488513847012</c:v>
                </c:pt>
                <c:pt idx="4">
                  <c:v>45.641629401120966</c:v>
                </c:pt>
                <c:pt idx="5">
                  <c:v>55.668135777158987</c:v>
                </c:pt>
                <c:pt idx="6">
                  <c:v>78.618418005157068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E-204D-B5F7-889E9A6A7E7F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nyx!$T$35:$T$41</c:f>
              <c:numCache>
                <c:formatCode>General</c:formatCode>
                <c:ptCount val="7"/>
                <c:pt idx="0">
                  <c:v>169.08409752244236</c:v>
                </c:pt>
                <c:pt idx="1">
                  <c:v>180.38621741679682</c:v>
                </c:pt>
                <c:pt idx="2">
                  <c:v>205.86376729256381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E-204D-B5F7-889E9A6A7E7F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nyx!$T$46:$T$53</c:f>
              <c:numCache>
                <c:formatCode>General</c:formatCode>
                <c:ptCount val="8"/>
                <c:pt idx="0">
                  <c:v>5.8214469166298919</c:v>
                </c:pt>
                <c:pt idx="1">
                  <c:v>11.188875067748691</c:v>
                </c:pt>
                <c:pt idx="2">
                  <c:v>21.93301981285871</c:v>
                </c:pt>
                <c:pt idx="3">
                  <c:v>42.308880920331781</c:v>
                </c:pt>
                <c:pt idx="4">
                  <c:v>61.585531805664559</c:v>
                </c:pt>
                <c:pt idx="5">
                  <c:v>80.822985556844515</c:v>
                </c:pt>
                <c:pt idx="6">
                  <c:v>119.86532010639139</c:v>
                </c:pt>
                <c:pt idx="7">
                  <c:v>160.1685647756893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6E-204D-B5F7-889E9A6A7E7F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nyx!$T$58:$T$64</c:f>
              <c:numCache>
                <c:formatCode>General</c:formatCode>
                <c:ptCount val="7"/>
                <c:pt idx="0">
                  <c:v>10.876394402307374</c:v>
                </c:pt>
                <c:pt idx="1">
                  <c:v>12.91451894001943</c:v>
                </c:pt>
                <c:pt idx="2">
                  <c:v>18.874111312558249</c:v>
                </c:pt>
                <c:pt idx="3">
                  <c:v>21.884577462358521</c:v>
                </c:pt>
                <c:pt idx="4">
                  <c:v>31.889319983307669</c:v>
                </c:pt>
                <c:pt idx="5">
                  <c:v>38.044315796125481</c:v>
                </c:pt>
                <c:pt idx="6">
                  <c:v>55.368514441654554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63.067498254273701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6E-204D-B5F7-889E9A6A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609600</xdr:colOff>
      <xdr:row>16</xdr:row>
      <xdr:rowOff>117474</xdr:rowOff>
    </xdr:from>
    <xdr:to>
      <xdr:col>37</xdr:col>
      <xdr:colOff>247650</xdr:colOff>
      <xdr:row>55</xdr:row>
      <xdr:rowOff>158749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ED202F-3553-4A14-B104-B6CDA4FF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67</xdr:row>
      <xdr:rowOff>98424</xdr:rowOff>
    </xdr:from>
    <xdr:to>
      <xdr:col>30</xdr:col>
      <xdr:colOff>539750</xdr:colOff>
      <xdr:row>96</xdr:row>
      <xdr:rowOff>63499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3E1915-7F3C-4332-896E-708A6D07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1143000</xdr:colOff>
      <xdr:row>76</xdr:row>
      <xdr:rowOff>82550</xdr:rowOff>
    </xdr:from>
    <xdr:to>
      <xdr:col>30</xdr:col>
      <xdr:colOff>438150</xdr:colOff>
      <xdr:row>105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602C3B-B379-4FEC-BF34-D6A9E577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495300</xdr:colOff>
      <xdr:row>16</xdr:row>
      <xdr:rowOff>114300</xdr:rowOff>
    </xdr:from>
    <xdr:to>
      <xdr:col>39</xdr:col>
      <xdr:colOff>127000</xdr:colOff>
      <xdr:row>55</xdr:row>
      <xdr:rowOff>155575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184E5E2-1CA9-4148-8F91-B5ADB012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330200</xdr:colOff>
      <xdr:row>4</xdr:row>
      <xdr:rowOff>152400</xdr:rowOff>
    </xdr:from>
    <xdr:to>
      <xdr:col>35</xdr:col>
      <xdr:colOff>635000</xdr:colOff>
      <xdr:row>44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636EAA-5B0A-0B46-A9E1-332C2ED74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6350</xdr:colOff>
      <xdr:row>7</xdr:row>
      <xdr:rowOff>149224</xdr:rowOff>
    </xdr:from>
    <xdr:to>
      <xdr:col>39</xdr:col>
      <xdr:colOff>215900</xdr:colOff>
      <xdr:row>47</xdr:row>
      <xdr:rowOff>6349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A597D7-DECF-4CDE-9D26-A5AFECCA1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77</xdr:row>
      <xdr:rowOff>174624</xdr:rowOff>
    </xdr:from>
    <xdr:to>
      <xdr:col>24</xdr:col>
      <xdr:colOff>622300</xdr:colOff>
      <xdr:row>106</xdr:row>
      <xdr:rowOff>126999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A251BF8-A9EC-43A2-9FC5-4D485B404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022F0D-E08C-4931-ABA1-8B9140EC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209550</xdr:colOff>
      <xdr:row>7</xdr:row>
      <xdr:rowOff>101600</xdr:rowOff>
    </xdr:from>
    <xdr:to>
      <xdr:col>39</xdr:col>
      <xdr:colOff>508000</xdr:colOff>
      <xdr:row>46</xdr:row>
      <xdr:rowOff>142875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6657E29-A5CC-43E7-ADFB-1EC29F70E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114300</xdr:colOff>
      <xdr:row>5</xdr:row>
      <xdr:rowOff>88900</xdr:rowOff>
    </xdr:from>
    <xdr:to>
      <xdr:col>34</xdr:col>
      <xdr:colOff>412750</xdr:colOff>
      <xdr:row>44</xdr:row>
      <xdr:rowOff>130175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39F9C93-A335-4F4D-9818-BDF7EE3D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247650</xdr:colOff>
      <xdr:row>16</xdr:row>
      <xdr:rowOff>73024</xdr:rowOff>
    </xdr:from>
    <xdr:to>
      <xdr:col>35</xdr:col>
      <xdr:colOff>590550</xdr:colOff>
      <xdr:row>55</xdr:row>
      <xdr:rowOff>114299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635067-BABE-43A0-94AF-5C807CFF4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622300</xdr:colOff>
      <xdr:row>85</xdr:row>
      <xdr:rowOff>155574</xdr:rowOff>
    </xdr:from>
    <xdr:to>
      <xdr:col>26</xdr:col>
      <xdr:colOff>292100</xdr:colOff>
      <xdr:row>114</xdr:row>
      <xdr:rowOff>120649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098141-93BF-4ED0-BE4F-393915F15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190500</xdr:colOff>
      <xdr:row>81</xdr:row>
      <xdr:rowOff>133350</xdr:rowOff>
    </xdr:from>
    <xdr:to>
      <xdr:col>33</xdr:col>
      <xdr:colOff>76200</xdr:colOff>
      <xdr:row>110</xdr:row>
      <xdr:rowOff>98425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A863D69-DDA8-4CF6-8A8F-5262AC5C7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234950</xdr:colOff>
      <xdr:row>13</xdr:row>
      <xdr:rowOff>6350</xdr:rowOff>
    </xdr:from>
    <xdr:to>
      <xdr:col>42</xdr:col>
      <xdr:colOff>533400</xdr:colOff>
      <xdr:row>56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14DC2E6-0BE2-4EF2-AED8-E810AB38C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43</xdr:col>
      <xdr:colOff>298450</xdr:colOff>
      <xdr:row>50</xdr:row>
      <xdr:rowOff>38100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475EECD-64C7-6147-8A86-F9A54D250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1212850</xdr:colOff>
      <xdr:row>9</xdr:row>
      <xdr:rowOff>104774</xdr:rowOff>
    </xdr:from>
    <xdr:to>
      <xdr:col>33</xdr:col>
      <xdr:colOff>203200</xdr:colOff>
      <xdr:row>48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D40727-7D55-456D-B756-C91D1B70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499512</xdr:colOff>
      <xdr:row>84</xdr:row>
      <xdr:rowOff>47247</xdr:rowOff>
    </xdr:from>
    <xdr:to>
      <xdr:col>26</xdr:col>
      <xdr:colOff>204961</xdr:colOff>
      <xdr:row>113</xdr:row>
      <xdr:rowOff>1508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E322F5-B21F-4B4B-ADF3-5A21C3E4D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219EF7C-6208-42E8-AB56-1D54B3A47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622300</xdr:colOff>
      <xdr:row>11</xdr:row>
      <xdr:rowOff>76200</xdr:rowOff>
    </xdr:from>
    <xdr:to>
      <xdr:col>37</xdr:col>
      <xdr:colOff>298450</xdr:colOff>
      <xdr:row>50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11F0601-2CFF-44D3-B825-F6E256306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150890</xdr:colOff>
      <xdr:row>1</xdr:row>
      <xdr:rowOff>188613</xdr:rowOff>
    </xdr:from>
    <xdr:to>
      <xdr:col>26</xdr:col>
      <xdr:colOff>166545</xdr:colOff>
      <xdr:row>41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EB09FAB-DE6C-A749-90C8-C7A0E2C6B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349250</xdr:colOff>
      <xdr:row>6</xdr:row>
      <xdr:rowOff>60324</xdr:rowOff>
    </xdr:from>
    <xdr:to>
      <xdr:col>37</xdr:col>
      <xdr:colOff>622300</xdr:colOff>
      <xdr:row>45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8C4E5C-7768-4F51-80E3-7273E4B5B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44450</xdr:colOff>
      <xdr:row>80</xdr:row>
      <xdr:rowOff>22224</xdr:rowOff>
    </xdr:from>
    <xdr:to>
      <xdr:col>25</xdr:col>
      <xdr:colOff>406400</xdr:colOff>
      <xdr:row>108</xdr:row>
      <xdr:rowOff>165099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5468044-5E08-439E-A6B8-403DC96A1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FFCD05E-522A-4391-A662-A812FE1A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387350</xdr:colOff>
      <xdr:row>10</xdr:row>
      <xdr:rowOff>38100</xdr:rowOff>
    </xdr:from>
    <xdr:to>
      <xdr:col>37</xdr:col>
      <xdr:colOff>63500</xdr:colOff>
      <xdr:row>49</xdr:row>
      <xdr:rowOff>79375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AB139BB-322F-4711-93F0-99B8588BE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5</xdr:row>
      <xdr:rowOff>0</xdr:rowOff>
    </xdr:from>
    <xdr:to>
      <xdr:col>36</xdr:col>
      <xdr:colOff>349250</xdr:colOff>
      <xdr:row>44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0A3831A-CF38-134B-A423-6E32841BF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6</xdr:row>
      <xdr:rowOff>15874</xdr:rowOff>
    </xdr:from>
    <xdr:to>
      <xdr:col>36</xdr:col>
      <xdr:colOff>393700</xdr:colOff>
      <xdr:row>45</xdr:row>
      <xdr:rowOff>63499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1154771-B8D7-4260-B192-E11AEC989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76</xdr:row>
      <xdr:rowOff>136524</xdr:rowOff>
    </xdr:from>
    <xdr:to>
      <xdr:col>26</xdr:col>
      <xdr:colOff>127000</xdr:colOff>
      <xdr:row>105</xdr:row>
      <xdr:rowOff>88899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E5C369D-DC89-4EC8-8D20-B0E9CA094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5556FA8-B502-4A52-A6BA-40F7A474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31750</xdr:colOff>
      <xdr:row>25</xdr:row>
      <xdr:rowOff>114300</xdr:rowOff>
    </xdr:from>
    <xdr:to>
      <xdr:col>41</xdr:col>
      <xdr:colOff>368300</xdr:colOff>
      <xdr:row>64</xdr:row>
      <xdr:rowOff>149225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D9C27F6-87C0-48D7-A3E9-15237FA3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37</xdr:col>
      <xdr:colOff>336550</xdr:colOff>
      <xdr:row>41</xdr:row>
      <xdr:rowOff>60325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E71A239-CD76-F14D-8F07-80AE553D0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7A69-2BD6-9F44-BB86-6C2D344DE42C}">
  <dimension ref="F3:M47"/>
  <sheetViews>
    <sheetView topLeftCell="A25" workbookViewId="0">
      <selection activeCell="L30" sqref="L30:L47"/>
    </sheetView>
  </sheetViews>
  <sheetFormatPr defaultColWidth="11.5703125" defaultRowHeight="15"/>
  <sheetData>
    <row r="3" spans="6:13">
      <c r="F3" t="s">
        <v>39</v>
      </c>
    </row>
    <row r="4" spans="6:13">
      <c r="F4" s="26" t="s">
        <v>26</v>
      </c>
      <c r="G4" s="29" t="s">
        <v>27</v>
      </c>
      <c r="H4" s="29" t="s">
        <v>15</v>
      </c>
      <c r="I4" s="29" t="s">
        <v>17</v>
      </c>
      <c r="J4" s="29" t="s">
        <v>18</v>
      </c>
      <c r="K4" s="29" t="s">
        <v>20</v>
      </c>
      <c r="L4" s="29" t="s">
        <v>16</v>
      </c>
      <c r="M4" s="6" t="s">
        <v>28</v>
      </c>
    </row>
    <row r="5" spans="6:13">
      <c r="F5" s="28"/>
      <c r="G5" s="30"/>
      <c r="H5" s="30"/>
      <c r="I5" s="30"/>
      <c r="J5" s="30"/>
      <c r="K5" s="30"/>
      <c r="L5" s="30"/>
      <c r="M5" s="7" t="s">
        <v>29</v>
      </c>
    </row>
    <row r="6" spans="6:13">
      <c r="F6" s="26" t="s">
        <v>30</v>
      </c>
      <c r="G6" s="8" t="s">
        <v>31</v>
      </c>
      <c r="H6" s="9">
        <v>28.7</v>
      </c>
      <c r="I6" s="10">
        <v>41.6</v>
      </c>
      <c r="J6" s="17">
        <v>53.7</v>
      </c>
      <c r="K6" s="14">
        <v>32</v>
      </c>
      <c r="L6" s="13">
        <v>28.8</v>
      </c>
      <c r="M6" s="11">
        <f>(L6-MAX(H6:K6))*100/MAX(H6:K6)</f>
        <v>-46.368715083798882</v>
      </c>
    </row>
    <row r="7" spans="6:13">
      <c r="F7" s="27"/>
      <c r="G7" s="8" t="s">
        <v>32</v>
      </c>
      <c r="H7" s="9">
        <v>24.7</v>
      </c>
      <c r="I7" s="10">
        <v>19.8</v>
      </c>
      <c r="J7" s="17">
        <v>30.7</v>
      </c>
      <c r="K7" s="14">
        <v>20.9</v>
      </c>
      <c r="L7" s="13">
        <v>27.4</v>
      </c>
      <c r="M7" s="11">
        <f t="shared" ref="M7:M23" si="0">(L7-MAX(H7:K7))*100/MAX(H7:K7)</f>
        <v>-10.749185667752444</v>
      </c>
    </row>
    <row r="8" spans="6:13">
      <c r="F8" s="28"/>
      <c r="G8" s="8" t="s">
        <v>33</v>
      </c>
      <c r="H8" s="9">
        <v>15.4</v>
      </c>
      <c r="I8" s="10">
        <v>10.7</v>
      </c>
      <c r="J8" s="9">
        <v>17.399999999999999</v>
      </c>
      <c r="K8" s="14">
        <v>12.1</v>
      </c>
      <c r="L8" s="18">
        <v>21.5</v>
      </c>
      <c r="M8" s="11">
        <f t="shared" si="0"/>
        <v>23.563218390804607</v>
      </c>
    </row>
    <row r="9" spans="6:13">
      <c r="F9" s="26" t="s">
        <v>34</v>
      </c>
      <c r="G9" s="8" t="s">
        <v>31</v>
      </c>
      <c r="H9" s="9">
        <v>27.1</v>
      </c>
      <c r="I9" s="10">
        <v>16.8</v>
      </c>
      <c r="J9" s="9">
        <v>7.9</v>
      </c>
      <c r="K9" s="18">
        <v>30.6</v>
      </c>
      <c r="L9" s="13">
        <v>28.5</v>
      </c>
      <c r="M9" s="11">
        <f t="shared" si="0"/>
        <v>-6.8627450980392197</v>
      </c>
    </row>
    <row r="10" spans="6:13">
      <c r="F10" s="27"/>
      <c r="G10" s="8" t="s">
        <v>32</v>
      </c>
      <c r="H10" s="9">
        <v>22.9</v>
      </c>
      <c r="I10" s="10">
        <v>9.6</v>
      </c>
      <c r="J10" s="9">
        <v>5.0999999999999996</v>
      </c>
      <c r="K10" s="14">
        <v>19.2</v>
      </c>
      <c r="L10" s="18">
        <v>26.3</v>
      </c>
      <c r="M10" s="11">
        <f t="shared" si="0"/>
        <v>14.847161572052412</v>
      </c>
    </row>
    <row r="11" spans="6:13">
      <c r="F11" s="28"/>
      <c r="G11" s="8" t="s">
        <v>33</v>
      </c>
      <c r="H11" s="9">
        <v>15.3</v>
      </c>
      <c r="I11" s="10">
        <v>6</v>
      </c>
      <c r="J11" s="9">
        <v>3.6</v>
      </c>
      <c r="K11" s="14">
        <v>11.8</v>
      </c>
      <c r="L11" s="18">
        <v>19.5</v>
      </c>
      <c r="M11" s="11">
        <f t="shared" si="0"/>
        <v>27.450980392156858</v>
      </c>
    </row>
    <row r="12" spans="6:13">
      <c r="F12" s="26" t="s">
        <v>38</v>
      </c>
      <c r="G12" s="8" t="s">
        <v>31</v>
      </c>
      <c r="H12" s="9">
        <v>28</v>
      </c>
      <c r="I12" s="10">
        <v>7.2</v>
      </c>
      <c r="J12" s="9">
        <v>19.5</v>
      </c>
      <c r="K12" s="14">
        <v>15.5</v>
      </c>
      <c r="L12" s="18">
        <v>29.5</v>
      </c>
      <c r="M12" s="11">
        <f t="shared" si="0"/>
        <v>5.3571428571428568</v>
      </c>
    </row>
    <row r="13" spans="6:13">
      <c r="F13" s="27"/>
      <c r="G13" s="8" t="s">
        <v>32</v>
      </c>
      <c r="H13" s="9">
        <v>23.3</v>
      </c>
      <c r="I13" s="10">
        <v>4.5</v>
      </c>
      <c r="J13" s="9">
        <v>9.3000000000000007</v>
      </c>
      <c r="K13" s="14">
        <v>11.8</v>
      </c>
      <c r="L13" s="18">
        <v>28.8</v>
      </c>
      <c r="M13" s="11">
        <f t="shared" si="0"/>
        <v>23.605150214592275</v>
      </c>
    </row>
    <row r="14" spans="6:13">
      <c r="F14" s="28"/>
      <c r="G14" s="8" t="s">
        <v>33</v>
      </c>
      <c r="H14" s="9">
        <v>17.3</v>
      </c>
      <c r="I14" s="10">
        <v>3.1</v>
      </c>
      <c r="J14" s="9">
        <v>5</v>
      </c>
      <c r="K14" s="14">
        <v>9</v>
      </c>
      <c r="L14" s="18">
        <v>26</v>
      </c>
      <c r="M14" s="11">
        <f t="shared" si="0"/>
        <v>50.289017341040456</v>
      </c>
    </row>
    <row r="15" spans="6:13">
      <c r="F15" s="26" t="s">
        <v>35</v>
      </c>
      <c r="G15" s="8" t="s">
        <v>31</v>
      </c>
      <c r="H15" s="17">
        <v>30.2</v>
      </c>
      <c r="I15" s="10">
        <v>20.3</v>
      </c>
      <c r="J15" s="9"/>
      <c r="K15" s="14">
        <v>25.3</v>
      </c>
      <c r="L15" s="13">
        <v>29.6</v>
      </c>
      <c r="M15" s="11">
        <f t="shared" si="0"/>
        <v>-1.9867549668874103</v>
      </c>
    </row>
    <row r="16" spans="6:13">
      <c r="F16" s="27"/>
      <c r="G16" s="8" t="s">
        <v>32</v>
      </c>
      <c r="H16" s="9">
        <v>23.9</v>
      </c>
      <c r="I16" s="10">
        <v>9.6</v>
      </c>
      <c r="J16" s="9"/>
      <c r="K16" s="14">
        <v>14.4</v>
      </c>
      <c r="L16" s="18">
        <v>28</v>
      </c>
      <c r="M16" s="11">
        <f t="shared" si="0"/>
        <v>17.154811715481177</v>
      </c>
    </row>
    <row r="17" spans="6:13">
      <c r="F17" s="28"/>
      <c r="G17" s="8" t="s">
        <v>33</v>
      </c>
      <c r="H17" s="9">
        <v>15.3</v>
      </c>
      <c r="I17" s="10">
        <v>5.7</v>
      </c>
      <c r="J17" s="9"/>
      <c r="K17" s="14">
        <v>8.4</v>
      </c>
      <c r="L17" s="18">
        <v>18.7</v>
      </c>
      <c r="M17" s="11">
        <f t="shared" si="0"/>
        <v>22.222222222222214</v>
      </c>
    </row>
    <row r="18" spans="6:13">
      <c r="F18" s="26" t="s">
        <v>36</v>
      </c>
      <c r="G18" s="8" t="s">
        <v>31</v>
      </c>
      <c r="H18" s="9">
        <v>26.6</v>
      </c>
      <c r="I18" s="10">
        <v>10.3</v>
      </c>
      <c r="J18" s="9">
        <v>3</v>
      </c>
      <c r="K18" s="14">
        <v>12.1</v>
      </c>
      <c r="L18" s="18">
        <v>29.3</v>
      </c>
      <c r="M18" s="11">
        <f t="shared" si="0"/>
        <v>10.150375939849621</v>
      </c>
    </row>
    <row r="19" spans="6:13">
      <c r="F19" s="27"/>
      <c r="G19" s="8" t="s">
        <v>32</v>
      </c>
      <c r="H19" s="9">
        <v>17.7</v>
      </c>
      <c r="I19" s="10">
        <v>5.4</v>
      </c>
      <c r="J19" s="9">
        <v>2.5</v>
      </c>
      <c r="K19" s="14">
        <v>9.9</v>
      </c>
      <c r="L19" s="18">
        <v>25.2</v>
      </c>
      <c r="M19" s="11">
        <f t="shared" si="0"/>
        <v>42.372881355932208</v>
      </c>
    </row>
    <row r="20" spans="6:13">
      <c r="F20" s="28"/>
      <c r="G20" s="8" t="s">
        <v>33</v>
      </c>
      <c r="H20" s="9">
        <v>10.7</v>
      </c>
      <c r="I20" s="10">
        <v>3.5</v>
      </c>
      <c r="J20" s="9">
        <v>1.8</v>
      </c>
      <c r="K20" s="14">
        <v>6.4</v>
      </c>
      <c r="L20" s="18">
        <v>13.3</v>
      </c>
      <c r="M20" s="11">
        <f t="shared" si="0"/>
        <v>24.299065420560758</v>
      </c>
    </row>
    <row r="21" spans="6:13">
      <c r="F21" s="26" t="s">
        <v>37</v>
      </c>
      <c r="G21" s="8" t="s">
        <v>31</v>
      </c>
      <c r="H21" s="9">
        <v>28.6</v>
      </c>
      <c r="I21" s="9">
        <v>22.2</v>
      </c>
      <c r="J21" s="12">
        <v>3.3</v>
      </c>
      <c r="K21" s="14">
        <v>19</v>
      </c>
      <c r="L21" s="18">
        <v>29.3</v>
      </c>
      <c r="M21" s="11">
        <f t="shared" si="0"/>
        <v>2.4475524475524448</v>
      </c>
    </row>
    <row r="22" spans="6:13">
      <c r="F22" s="27"/>
      <c r="G22" s="8" t="s">
        <v>32</v>
      </c>
      <c r="H22" s="9">
        <v>20.9</v>
      </c>
      <c r="I22" s="9">
        <v>10.1</v>
      </c>
      <c r="J22" s="12">
        <v>2.5</v>
      </c>
      <c r="K22" s="14">
        <v>12.1</v>
      </c>
      <c r="L22" s="18">
        <v>27.7</v>
      </c>
      <c r="M22" s="11">
        <f t="shared" si="0"/>
        <v>32.535885167464123</v>
      </c>
    </row>
    <row r="23" spans="6:13">
      <c r="F23" s="28"/>
      <c r="G23" s="8" t="s">
        <v>33</v>
      </c>
      <c r="H23" s="9">
        <v>14.8</v>
      </c>
      <c r="I23" s="9">
        <v>5.6</v>
      </c>
      <c r="J23" s="9">
        <v>1.9</v>
      </c>
      <c r="K23" s="14">
        <v>8.3000000000000007</v>
      </c>
      <c r="L23" s="18">
        <v>22.6</v>
      </c>
      <c r="M23" s="11">
        <f t="shared" si="0"/>
        <v>52.702702702702709</v>
      </c>
    </row>
    <row r="24" spans="6:13">
      <c r="K24" s="15"/>
    </row>
    <row r="25" spans="6:13">
      <c r="K25" s="15"/>
    </row>
    <row r="26" spans="6:13">
      <c r="K26" s="15"/>
    </row>
    <row r="27" spans="6:13">
      <c r="F27" t="s">
        <v>40</v>
      </c>
      <c r="K27" s="15"/>
    </row>
    <row r="28" spans="6:13">
      <c r="F28" s="26" t="s">
        <v>26</v>
      </c>
      <c r="G28" s="29" t="s">
        <v>27</v>
      </c>
      <c r="H28" s="29" t="s">
        <v>15</v>
      </c>
      <c r="I28" s="29" t="s">
        <v>17</v>
      </c>
      <c r="J28" s="29" t="s">
        <v>18</v>
      </c>
      <c r="K28" s="29" t="s">
        <v>20</v>
      </c>
      <c r="L28" s="29" t="s">
        <v>16</v>
      </c>
      <c r="M28" s="6" t="s">
        <v>28</v>
      </c>
    </row>
    <row r="29" spans="6:13">
      <c r="F29" s="28"/>
      <c r="G29" s="30"/>
      <c r="H29" s="30"/>
      <c r="I29" s="30"/>
      <c r="J29" s="30"/>
      <c r="K29" s="30"/>
      <c r="L29" s="30"/>
      <c r="M29" s="7" t="s">
        <v>29</v>
      </c>
    </row>
    <row r="30" spans="6:13">
      <c r="F30" s="26" t="s">
        <v>30</v>
      </c>
      <c r="G30" s="8" t="s">
        <v>31</v>
      </c>
      <c r="H30" s="9">
        <v>84.1</v>
      </c>
      <c r="I30" s="10">
        <v>100.5</v>
      </c>
      <c r="J30" s="9">
        <v>70.400000000000006</v>
      </c>
      <c r="K30" s="14">
        <v>69.7</v>
      </c>
      <c r="L30" s="18">
        <v>234</v>
      </c>
      <c r="M30" s="11">
        <f>(L30-MAX(H30:K30))*100/MAX(H30:K30)</f>
        <v>132.83582089552237</v>
      </c>
    </row>
    <row r="31" spans="6:13">
      <c r="F31" s="27"/>
      <c r="G31" s="8" t="s">
        <v>32</v>
      </c>
      <c r="H31" s="9">
        <v>50.2</v>
      </c>
      <c r="I31" s="10">
        <v>31.1</v>
      </c>
      <c r="J31" s="9">
        <v>38.799999999999997</v>
      </c>
      <c r="K31" s="14">
        <v>35.5</v>
      </c>
      <c r="L31" s="18">
        <v>96.2</v>
      </c>
      <c r="M31" s="11">
        <f t="shared" ref="M31:M47" si="1">(L31-MAX(H31:K31))*100/MAX(H31:K31)</f>
        <v>91.633466135458164</v>
      </c>
    </row>
    <row r="32" spans="6:13">
      <c r="F32" s="28"/>
      <c r="G32" s="8" t="s">
        <v>33</v>
      </c>
      <c r="H32" s="9">
        <v>26.6</v>
      </c>
      <c r="I32" s="10">
        <v>14</v>
      </c>
      <c r="J32" s="9">
        <v>21.4</v>
      </c>
      <c r="K32" s="14">
        <v>18.399999999999999</v>
      </c>
      <c r="L32" s="18">
        <v>45.4</v>
      </c>
      <c r="M32" s="11">
        <f t="shared" si="1"/>
        <v>70.676691729323295</v>
      </c>
    </row>
    <row r="33" spans="6:13">
      <c r="F33" s="26" t="s">
        <v>34</v>
      </c>
      <c r="G33" s="8" t="s">
        <v>31</v>
      </c>
      <c r="H33" s="9">
        <v>67.400000000000006</v>
      </c>
      <c r="I33" s="10">
        <v>18.7</v>
      </c>
      <c r="J33" s="9">
        <v>8.1</v>
      </c>
      <c r="K33" s="14">
        <v>43.9</v>
      </c>
      <c r="L33" s="18">
        <v>174</v>
      </c>
      <c r="M33" s="11">
        <f t="shared" si="1"/>
        <v>158.16023738872403</v>
      </c>
    </row>
    <row r="34" spans="6:13">
      <c r="F34" s="27"/>
      <c r="G34" s="8" t="s">
        <v>32</v>
      </c>
      <c r="H34" s="9">
        <v>38.5</v>
      </c>
      <c r="I34" s="10">
        <v>10.7</v>
      </c>
      <c r="J34" s="9">
        <v>5.2</v>
      </c>
      <c r="K34" s="14">
        <v>27.1</v>
      </c>
      <c r="L34" s="18">
        <v>77.2</v>
      </c>
      <c r="M34" s="11">
        <f t="shared" si="1"/>
        <v>100.51948051948054</v>
      </c>
    </row>
    <row r="35" spans="6:13">
      <c r="F35" s="28"/>
      <c r="G35" s="8" t="s">
        <v>33</v>
      </c>
      <c r="H35" s="9">
        <v>19.8</v>
      </c>
      <c r="I35" s="10">
        <v>6.7</v>
      </c>
      <c r="J35" s="9">
        <v>3.7</v>
      </c>
      <c r="K35" s="14">
        <v>15.4</v>
      </c>
      <c r="L35" s="18">
        <v>34.299999999999997</v>
      </c>
      <c r="M35" s="11">
        <f t="shared" si="1"/>
        <v>73.232323232323211</v>
      </c>
    </row>
    <row r="36" spans="6:13">
      <c r="F36" s="26" t="s">
        <v>38</v>
      </c>
      <c r="G36" s="8" t="s">
        <v>31</v>
      </c>
      <c r="H36" s="9">
        <v>42.5</v>
      </c>
      <c r="I36" s="10">
        <v>18.899999999999999</v>
      </c>
      <c r="J36" s="9">
        <v>19.899999999999999</v>
      </c>
      <c r="K36" s="14">
        <v>43.9</v>
      </c>
      <c r="L36" s="18">
        <v>245</v>
      </c>
      <c r="M36" s="11">
        <f t="shared" si="1"/>
        <v>458.08656036446473</v>
      </c>
    </row>
    <row r="37" spans="6:13">
      <c r="F37" s="27"/>
      <c r="G37" s="8" t="s">
        <v>32</v>
      </c>
      <c r="H37" s="9">
        <v>28.3</v>
      </c>
      <c r="I37" s="10">
        <v>8.8000000000000007</v>
      </c>
      <c r="J37" s="9">
        <v>9.5</v>
      </c>
      <c r="K37" s="14">
        <v>27.1</v>
      </c>
      <c r="L37" s="18">
        <v>137</v>
      </c>
      <c r="M37" s="11">
        <f t="shared" si="1"/>
        <v>384.09893992932859</v>
      </c>
    </row>
    <row r="38" spans="6:13">
      <c r="F38" s="28"/>
      <c r="G38" s="8" t="s">
        <v>33</v>
      </c>
      <c r="H38" s="9">
        <v>19</v>
      </c>
      <c r="I38" s="10">
        <v>5</v>
      </c>
      <c r="J38" s="9">
        <v>5.0999999999999996</v>
      </c>
      <c r="K38" s="14">
        <v>15.4</v>
      </c>
      <c r="L38" s="18">
        <v>58.2</v>
      </c>
      <c r="M38" s="11">
        <f t="shared" si="1"/>
        <v>206.31578947368425</v>
      </c>
    </row>
    <row r="39" spans="6:13">
      <c r="F39" s="26" t="s">
        <v>35</v>
      </c>
      <c r="G39" s="8" t="s">
        <v>31</v>
      </c>
      <c r="H39" s="9">
        <v>71.599999999999994</v>
      </c>
      <c r="I39" s="10">
        <v>95.9</v>
      </c>
      <c r="J39" s="9"/>
      <c r="K39" s="14">
        <v>84.5</v>
      </c>
      <c r="L39" s="18">
        <v>256</v>
      </c>
      <c r="M39" s="11">
        <f>(L39-MAX(H39:K39))*100/MAX(H39:K39)</f>
        <v>166.94473409801876</v>
      </c>
    </row>
    <row r="40" spans="6:13">
      <c r="F40" s="27"/>
      <c r="G40" s="8" t="s">
        <v>32</v>
      </c>
      <c r="H40" s="9">
        <v>34.4</v>
      </c>
      <c r="I40" s="10">
        <v>19</v>
      </c>
      <c r="J40" s="9"/>
      <c r="K40" s="16">
        <v>26.2</v>
      </c>
      <c r="L40" s="18">
        <v>66.099999999999994</v>
      </c>
      <c r="M40" s="11">
        <f t="shared" si="1"/>
        <v>92.151162790697668</v>
      </c>
    </row>
    <row r="41" spans="6:13">
      <c r="F41" s="28"/>
      <c r="G41" s="8" t="s">
        <v>33</v>
      </c>
      <c r="H41" s="9">
        <v>17.899999999999999</v>
      </c>
      <c r="I41" s="10">
        <v>7.5</v>
      </c>
      <c r="J41" s="9"/>
      <c r="K41" s="14">
        <v>12.3</v>
      </c>
      <c r="L41" s="18">
        <v>25.1</v>
      </c>
      <c r="M41" s="11">
        <f t="shared" si="1"/>
        <v>40.223463687150854</v>
      </c>
    </row>
    <row r="42" spans="6:13">
      <c r="F42" s="26" t="s">
        <v>36</v>
      </c>
      <c r="G42" s="8" t="s">
        <v>31</v>
      </c>
      <c r="H42" s="9">
        <v>27.8</v>
      </c>
      <c r="I42" s="10">
        <v>19.899999999999999</v>
      </c>
      <c r="J42" s="9">
        <v>3.1</v>
      </c>
      <c r="K42" s="14">
        <v>18</v>
      </c>
      <c r="L42" s="18">
        <v>132</v>
      </c>
      <c r="M42" s="11">
        <f t="shared" si="1"/>
        <v>374.8201438848921</v>
      </c>
    </row>
    <row r="43" spans="6:13">
      <c r="F43" s="27"/>
      <c r="G43" s="8" t="s">
        <v>32</v>
      </c>
      <c r="H43" s="9">
        <v>17.7</v>
      </c>
      <c r="I43" s="10">
        <v>6</v>
      </c>
      <c r="J43" s="9">
        <v>2.5</v>
      </c>
      <c r="K43" s="14">
        <v>11.5</v>
      </c>
      <c r="L43" s="18">
        <v>34.799999999999997</v>
      </c>
      <c r="M43" s="11">
        <f t="shared" si="1"/>
        <v>96.610169491525411</v>
      </c>
    </row>
    <row r="44" spans="6:13">
      <c r="F44" s="28"/>
      <c r="G44" s="8" t="s">
        <v>33</v>
      </c>
      <c r="H44" s="9">
        <v>10.7</v>
      </c>
      <c r="I44" s="10">
        <v>3.6</v>
      </c>
      <c r="J44" s="9">
        <v>1.8</v>
      </c>
      <c r="K44" s="14">
        <v>7.8</v>
      </c>
      <c r="L44" s="18">
        <v>13.3</v>
      </c>
      <c r="M44" s="11">
        <f t="shared" si="1"/>
        <v>24.299065420560758</v>
      </c>
    </row>
    <row r="45" spans="6:13">
      <c r="F45" s="26" t="s">
        <v>37</v>
      </c>
      <c r="G45" s="8" t="s">
        <v>31</v>
      </c>
      <c r="H45" s="9">
        <v>46</v>
      </c>
      <c r="I45" s="9">
        <v>38.700000000000003</v>
      </c>
      <c r="J45" s="12">
        <v>3.3</v>
      </c>
      <c r="K45" s="14">
        <v>30.3</v>
      </c>
      <c r="L45" s="18">
        <v>168</v>
      </c>
      <c r="M45" s="11">
        <f t="shared" si="1"/>
        <v>265.21739130434781</v>
      </c>
    </row>
    <row r="46" spans="6:13">
      <c r="F46" s="27"/>
      <c r="G46" s="8" t="s">
        <v>32</v>
      </c>
      <c r="H46" s="9">
        <v>23.7</v>
      </c>
      <c r="I46" s="9">
        <v>11.5</v>
      </c>
      <c r="J46" s="12">
        <v>2.5</v>
      </c>
      <c r="K46" s="14">
        <v>14.7</v>
      </c>
      <c r="L46" s="18">
        <v>78.400000000000006</v>
      </c>
      <c r="M46" s="11">
        <f t="shared" si="1"/>
        <v>230.80168776371309</v>
      </c>
    </row>
    <row r="47" spans="6:13">
      <c r="F47" s="28"/>
      <c r="G47" s="8" t="s">
        <v>33</v>
      </c>
      <c r="H47" s="9">
        <v>15.3</v>
      </c>
      <c r="I47" s="9">
        <v>5.8</v>
      </c>
      <c r="J47" s="9">
        <v>1.9</v>
      </c>
      <c r="K47" s="14">
        <v>10.199999999999999</v>
      </c>
      <c r="L47" s="18">
        <v>34.6</v>
      </c>
      <c r="M47" s="11">
        <f t="shared" si="1"/>
        <v>126.14379084967319</v>
      </c>
    </row>
  </sheetData>
  <mergeCells count="26">
    <mergeCell ref="F4:F5"/>
    <mergeCell ref="G4:G5"/>
    <mergeCell ref="F6:F8"/>
    <mergeCell ref="F9:F11"/>
    <mergeCell ref="F12:F14"/>
    <mergeCell ref="F45:F47"/>
    <mergeCell ref="L4:L5"/>
    <mergeCell ref="F28:F29"/>
    <mergeCell ref="G28:G29"/>
    <mergeCell ref="H28:H29"/>
    <mergeCell ref="I28:I29"/>
    <mergeCell ref="J28:J29"/>
    <mergeCell ref="K28:K29"/>
    <mergeCell ref="L28:L29"/>
    <mergeCell ref="F15:F17"/>
    <mergeCell ref="F18:F20"/>
    <mergeCell ref="F21:F23"/>
    <mergeCell ref="H4:H5"/>
    <mergeCell ref="I4:I5"/>
    <mergeCell ref="J4:J5"/>
    <mergeCell ref="K4:K5"/>
    <mergeCell ref="F30:F32"/>
    <mergeCell ref="F33:F35"/>
    <mergeCell ref="F36:F38"/>
    <mergeCell ref="F39:F41"/>
    <mergeCell ref="F42:F4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"/>
  <sheetViews>
    <sheetView topLeftCell="A47" zoomScaleNormal="100" workbookViewId="0">
      <selection activeCell="E68" sqref="E68"/>
    </sheetView>
  </sheetViews>
  <sheetFormatPr defaultColWidth="8.7109375" defaultRowHeight="15"/>
  <cols>
    <col min="1" max="7" width="8.7109375" style="1"/>
    <col min="8" max="8" width="10.42578125" style="24" customWidth="1"/>
    <col min="9" max="9" width="8.7109375" style="24"/>
    <col min="10" max="12" width="8.7109375" style="1"/>
    <col min="13" max="13" width="12.7109375" style="1" customWidth="1"/>
    <col min="14" max="14" width="8.7109375" style="1"/>
    <col min="15" max="15" width="18" style="1" customWidth="1"/>
    <col min="16" max="16" width="14.140625" customWidth="1"/>
    <col min="17" max="17" width="15.140625" customWidth="1"/>
    <col min="18" max="18" width="13.28515625" style="23" customWidth="1"/>
    <col min="19" max="19" width="16.42578125" style="23" customWidth="1"/>
    <col min="20" max="20" width="16.42578125" customWidth="1"/>
  </cols>
  <sheetData>
    <row r="1" spans="1:26">
      <c r="A1" s="1" t="s">
        <v>48</v>
      </c>
      <c r="Y1" t="s">
        <v>44</v>
      </c>
      <c r="Z1" t="s">
        <v>45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4" t="s">
        <v>7</v>
      </c>
      <c r="I2" s="24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21</v>
      </c>
      <c r="Q2" s="1" t="s">
        <v>22</v>
      </c>
      <c r="R2" s="24" t="s">
        <v>23</v>
      </c>
      <c r="S2" s="24" t="s">
        <v>24</v>
      </c>
      <c r="T2" s="1" t="s">
        <v>46</v>
      </c>
      <c r="Y2">
        <f>7*256*384*384*4*100/(1024*1024*1024)</f>
        <v>98.4375</v>
      </c>
      <c r="Z2">
        <v>1</v>
      </c>
    </row>
    <row r="3" spans="1:26">
      <c r="A3" s="25">
        <v>0.01</v>
      </c>
      <c r="B3">
        <v>27.2889879986698</v>
      </c>
      <c r="C3">
        <v>1.17263417762358</v>
      </c>
      <c r="D3">
        <v>49.898665608633898</v>
      </c>
      <c r="E3"/>
      <c r="F3">
        <v>51.5485714285714</v>
      </c>
      <c r="G3">
        <v>51.5485714285714</v>
      </c>
      <c r="H3">
        <v>57.0156799560812</v>
      </c>
      <c r="I3">
        <v>52.511799919160701</v>
      </c>
      <c r="J3">
        <v>2.4772051383870601</v>
      </c>
      <c r="K3">
        <v>150.23061122127001</v>
      </c>
      <c r="L3">
        <v>47.7517572599129</v>
      </c>
      <c r="M3">
        <v>2.47981509639816</v>
      </c>
      <c r="N3">
        <v>266.29139336353199</v>
      </c>
      <c r="O3">
        <v>181.25549216177799</v>
      </c>
      <c r="P3">
        <f>B3*M3</f>
        <v>67.671644404529587</v>
      </c>
      <c r="Q3">
        <f>C3/M3</f>
        <v>0.47287161826169538</v>
      </c>
      <c r="R3" s="23">
        <f>1/(1/H3+1/(N3*B3))</f>
        <v>56.571816012083268</v>
      </c>
      <c r="S3" s="23">
        <f>1/(1/I3+1/(O3*B3))</f>
        <v>51.960168681019475</v>
      </c>
      <c r="T3">
        <f>$Y$2/R3+$Y$2/S3+$Y$2/($Z$2*P3)</f>
        <v>5.0891592667387702</v>
      </c>
    </row>
    <row r="4" spans="1:26">
      <c r="A4" s="25">
        <v>5.0000000000000001E-3</v>
      </c>
      <c r="B4">
        <v>26.278845715306499</v>
      </c>
      <c r="C4">
        <v>1.2177094970865101</v>
      </c>
      <c r="D4">
        <v>55.142775441778703</v>
      </c>
      <c r="E4"/>
      <c r="F4">
        <v>50.612857142857102</v>
      </c>
      <c r="G4">
        <v>50.612857142857102</v>
      </c>
      <c r="H4">
        <v>56.877427930287404</v>
      </c>
      <c r="I4">
        <v>51.513775615140503</v>
      </c>
      <c r="J4">
        <v>2.1954137359230201</v>
      </c>
      <c r="K4">
        <v>154.122297476737</v>
      </c>
      <c r="L4">
        <v>49.538332267016301</v>
      </c>
      <c r="M4">
        <v>2.1971345442782799</v>
      </c>
      <c r="N4">
        <v>261.18516143918998</v>
      </c>
      <c r="O4">
        <v>189.089028586067</v>
      </c>
      <c r="P4">
        <f t="shared" ref="P4:P9" si="0">B4*M4</f>
        <v>57.738159704859171</v>
      </c>
      <c r="Q4">
        <f t="shared" ref="Q4:Q9" si="1">C4/M4</f>
        <v>0.55422618530924161</v>
      </c>
      <c r="R4" s="23">
        <f t="shared" ref="R4:R9" si="2">1/(1/H4+1/(N4*B4))</f>
        <v>56.409971600644603</v>
      </c>
      <c r="S4" s="23">
        <f t="shared" ref="S4:S9" si="3">1/(1/I4+1/(O4*B4))</f>
        <v>50.985214732783689</v>
      </c>
      <c r="T4">
        <f t="shared" ref="T4:T9" si="4">$Y$2/R4+$Y$2/S4+$Y$2/($Z$2*P4)</f>
        <v>5.3806390078641826</v>
      </c>
    </row>
    <row r="5" spans="1:26">
      <c r="A5" s="25">
        <v>1E-3</v>
      </c>
      <c r="B5">
        <v>23.032308390493402</v>
      </c>
      <c r="C5">
        <v>1.3893527065314899</v>
      </c>
      <c r="D5">
        <v>67.691765357852105</v>
      </c>
      <c r="E5"/>
      <c r="F5">
        <v>42.748571428571402</v>
      </c>
      <c r="G5">
        <v>42.748571428571402</v>
      </c>
      <c r="H5">
        <v>56.539176820724599</v>
      </c>
      <c r="I5">
        <v>43.429334132596203</v>
      </c>
      <c r="J5">
        <v>1.68004193590566</v>
      </c>
      <c r="K5">
        <v>156.57085451251001</v>
      </c>
      <c r="L5">
        <v>55.859682948454299</v>
      </c>
      <c r="M5">
        <v>1.68117809118891</v>
      </c>
      <c r="N5">
        <v>244.36576872326901</v>
      </c>
      <c r="O5">
        <v>214.61818679295101</v>
      </c>
      <c r="P5">
        <f t="shared" si="0"/>
        <v>38.721412255604015</v>
      </c>
      <c r="Q5">
        <f t="shared" si="1"/>
        <v>0.826416138666758</v>
      </c>
      <c r="R5" s="23">
        <f t="shared" si="2"/>
        <v>55.976861149018781</v>
      </c>
      <c r="S5" s="23">
        <f t="shared" si="3"/>
        <v>43.051097654174455</v>
      </c>
      <c r="T5">
        <f t="shared" si="4"/>
        <v>6.5872642660469616</v>
      </c>
    </row>
    <row r="6" spans="1:26">
      <c r="A6" s="25">
        <v>5.0000000000000001E-4</v>
      </c>
      <c r="B6">
        <v>20.990763039679099</v>
      </c>
      <c r="C6">
        <v>1.5244800743789</v>
      </c>
      <c r="D6">
        <v>73.388278613131803</v>
      </c>
      <c r="E6"/>
      <c r="F6">
        <v>40.211428571428499</v>
      </c>
      <c r="G6">
        <v>40.211428571428499</v>
      </c>
      <c r="H6">
        <v>56.279964430779501</v>
      </c>
      <c r="I6">
        <v>40.801776589456303</v>
      </c>
      <c r="J6">
        <v>1.5221342397338899</v>
      </c>
      <c r="K6">
        <v>169.19212636304499</v>
      </c>
      <c r="L6">
        <v>61.771648208899002</v>
      </c>
      <c r="M6">
        <v>1.5210599532221201</v>
      </c>
      <c r="N6">
        <v>237.452113917312</v>
      </c>
      <c r="O6">
        <v>212.56400786995201</v>
      </c>
      <c r="P6">
        <f t="shared" si="0"/>
        <v>31.928209047230897</v>
      </c>
      <c r="Q6">
        <f t="shared" si="1"/>
        <v>1.0022485117365263</v>
      </c>
      <c r="R6" s="23">
        <f t="shared" si="2"/>
        <v>55.651577666799035</v>
      </c>
      <c r="S6" s="23">
        <f t="shared" si="3"/>
        <v>40.432044774226007</v>
      </c>
      <c r="T6">
        <f t="shared" si="4"/>
        <v>7.2865471181386958</v>
      </c>
    </row>
    <row r="7" spans="1:26">
      <c r="A7" s="25">
        <v>1E-4</v>
      </c>
      <c r="B7">
        <v>15.355255125843399</v>
      </c>
      <c r="C7">
        <v>2.0839770969446598</v>
      </c>
      <c r="D7">
        <v>86.876288283458194</v>
      </c>
      <c r="E7"/>
      <c r="F7">
        <v>34.827142857142803</v>
      </c>
      <c r="G7">
        <v>34.827142857142803</v>
      </c>
      <c r="H7">
        <v>55.226851576892898</v>
      </c>
      <c r="I7">
        <v>35.2625023289214</v>
      </c>
      <c r="J7">
        <v>1.2965564725168801</v>
      </c>
      <c r="K7">
        <v>200.11438598343099</v>
      </c>
      <c r="L7">
        <v>82.836612913571798</v>
      </c>
      <c r="M7">
        <v>1.29764143438118</v>
      </c>
      <c r="N7">
        <v>218.68363956375001</v>
      </c>
      <c r="O7">
        <v>235.64813435382499</v>
      </c>
      <c r="P7">
        <f t="shared" si="0"/>
        <v>19.925615286788396</v>
      </c>
      <c r="Q7">
        <f t="shared" si="1"/>
        <v>1.6059729920218431</v>
      </c>
      <c r="R7" s="23">
        <f t="shared" si="2"/>
        <v>54.333252606256337</v>
      </c>
      <c r="S7" s="23">
        <f t="shared" si="3"/>
        <v>34.922177681578248</v>
      </c>
      <c r="T7">
        <f t="shared" si="4"/>
        <v>9.570752285678191</v>
      </c>
    </row>
    <row r="8" spans="1:26">
      <c r="A8" s="25">
        <v>5.0000000000000002E-5</v>
      </c>
      <c r="B8">
        <v>13.163051542396</v>
      </c>
      <c r="C8">
        <v>2.4310472307225401</v>
      </c>
      <c r="D8">
        <v>92.225734178437193</v>
      </c>
      <c r="E8"/>
      <c r="F8">
        <v>33.272857142857099</v>
      </c>
      <c r="G8">
        <v>33.272857142857099</v>
      </c>
      <c r="H8">
        <v>54.626183422675901</v>
      </c>
      <c r="I8">
        <v>33.683458310580598</v>
      </c>
      <c r="J8">
        <v>1.2392268968045601</v>
      </c>
      <c r="K8">
        <v>209.460243602725</v>
      </c>
      <c r="L8">
        <v>94.255784289327806</v>
      </c>
      <c r="M8">
        <v>1.2386273745835099</v>
      </c>
      <c r="N8">
        <v>213.30952273824201</v>
      </c>
      <c r="O8">
        <v>239.95594119986799</v>
      </c>
      <c r="P8">
        <f t="shared" si="0"/>
        <v>16.304115973465379</v>
      </c>
      <c r="Q8">
        <f t="shared" si="1"/>
        <v>1.9626945767608139</v>
      </c>
      <c r="R8" s="23">
        <f t="shared" si="2"/>
        <v>53.583705712641212</v>
      </c>
      <c r="S8" s="23">
        <f t="shared" si="3"/>
        <v>33.328041165253801</v>
      </c>
      <c r="T8">
        <f t="shared" si="4"/>
        <v>10.828258774252291</v>
      </c>
    </row>
    <row r="9" spans="1:26">
      <c r="A9" s="25">
        <v>1.0000000000000001E-5</v>
      </c>
      <c r="B9">
        <v>9.1469746889033292</v>
      </c>
      <c r="C9">
        <v>3.4984244614583702</v>
      </c>
      <c r="D9">
        <v>106.41743216582201</v>
      </c>
      <c r="E9"/>
      <c r="F9">
        <v>31.177142857142801</v>
      </c>
      <c r="G9">
        <v>31.177142857142801</v>
      </c>
      <c r="H9">
        <v>53.298686275332898</v>
      </c>
      <c r="I9">
        <v>31.634132144643999</v>
      </c>
      <c r="J9">
        <v>1.15916182459105</v>
      </c>
      <c r="K9">
        <v>211.124238266638</v>
      </c>
      <c r="L9">
        <v>124.796875044755</v>
      </c>
      <c r="M9">
        <v>1.15799091908105</v>
      </c>
      <c r="N9">
        <v>211.376221825877</v>
      </c>
      <c r="O9">
        <v>239.89828529111401</v>
      </c>
      <c r="P9">
        <f t="shared" si="0"/>
        <v>10.592113626814267</v>
      </c>
      <c r="Q9">
        <f t="shared" si="1"/>
        <v>3.0211156269123633</v>
      </c>
      <c r="R9" s="23">
        <f t="shared" si="2"/>
        <v>51.868839733090887</v>
      </c>
      <c r="S9" s="23">
        <f t="shared" si="3"/>
        <v>31.184568643847044</v>
      </c>
      <c r="T9">
        <f t="shared" si="4"/>
        <v>14.347895973058515</v>
      </c>
    </row>
    <row r="10" spans="1:26">
      <c r="A10" s="2"/>
    </row>
    <row r="11" spans="1:26">
      <c r="A11" s="2" t="s">
        <v>49</v>
      </c>
    </row>
    <row r="12" spans="1:26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24" t="s">
        <v>7</v>
      </c>
      <c r="I12" s="24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21</v>
      </c>
      <c r="Q12" s="1" t="s">
        <v>22</v>
      </c>
      <c r="R12" s="24" t="s">
        <v>23</v>
      </c>
      <c r="S12" s="24" t="s">
        <v>24</v>
      </c>
      <c r="T12" s="1" t="s">
        <v>46</v>
      </c>
    </row>
    <row r="13" spans="1:26">
      <c r="A13" s="25">
        <v>0.01</v>
      </c>
      <c r="B13">
        <v>28.631392379924801</v>
      </c>
      <c r="C13">
        <v>1.11765434161829</v>
      </c>
      <c r="D13">
        <v>59.027712882101198</v>
      </c>
      <c r="E13"/>
      <c r="F13">
        <v>50.838571428571399</v>
      </c>
      <c r="G13">
        <v>50.838571428571399</v>
      </c>
      <c r="H13">
        <v>42.359295931470299</v>
      </c>
      <c r="I13">
        <v>46.8773275786101</v>
      </c>
      <c r="J13">
        <v>6.0651286155806501</v>
      </c>
      <c r="K13">
        <v>145.87630353760699</v>
      </c>
      <c r="L13">
        <v>45.600363636929004</v>
      </c>
      <c r="M13">
        <v>6.0832625545554597</v>
      </c>
      <c r="N13">
        <v>263.87934045662598</v>
      </c>
      <c r="O13">
        <v>160.84437071552301</v>
      </c>
      <c r="P13">
        <f>B13*M13</f>
        <v>174.17227714958108</v>
      </c>
      <c r="Q13">
        <f>C13/M13</f>
        <v>0.18372613899121171</v>
      </c>
      <c r="R13" s="23">
        <f>1/(1/H13+1/(N13*B13))</f>
        <v>42.12312769597353</v>
      </c>
      <c r="S13" s="23">
        <f>1/(1/I13+1/(O13*B13))</f>
        <v>46.40496125838493</v>
      </c>
      <c r="T13">
        <f>$Y$2/R13+$Y$2/S13+$Y$2/($Z$2*P13)</f>
        <v>5.0233433311532965</v>
      </c>
    </row>
    <row r="14" spans="1:26">
      <c r="A14" s="25">
        <v>5.0000000000000001E-3</v>
      </c>
      <c r="B14">
        <v>28.302119140449999</v>
      </c>
      <c r="C14">
        <v>1.13065738438875</v>
      </c>
      <c r="D14">
        <v>63.1888077939171</v>
      </c>
      <c r="E14"/>
      <c r="F14">
        <v>49.591428571428501</v>
      </c>
      <c r="G14">
        <v>49.591428571428501</v>
      </c>
      <c r="H14">
        <v>42.339306701064402</v>
      </c>
      <c r="I14">
        <v>45.816941204048298</v>
      </c>
      <c r="J14">
        <v>4.9606971012600498</v>
      </c>
      <c r="K14">
        <v>146.87670236968799</v>
      </c>
      <c r="L14">
        <v>45.577988626340101</v>
      </c>
      <c r="M14">
        <v>4.9726601403007598</v>
      </c>
      <c r="N14">
        <v>262.94736473288901</v>
      </c>
      <c r="O14">
        <v>158.88221114095199</v>
      </c>
      <c r="P14">
        <f t="shared" ref="P14:P19" si="5">B14*M14</f>
        <v>140.7368197357589</v>
      </c>
      <c r="Q14">
        <f t="shared" ref="Q14:Q19" si="6">C14/M14</f>
        <v>0.22737475566153709</v>
      </c>
      <c r="R14" s="23">
        <f t="shared" ref="R14:R19" si="7">1/(1/H14+1/(N14*B14))</f>
        <v>42.09978994905866</v>
      </c>
      <c r="S14" s="23">
        <f t="shared" ref="S14:S19" si="8">1/(1/I14+1/(O14*B14))</f>
        <v>45.354820618084723</v>
      </c>
      <c r="T14">
        <f t="shared" ref="T14:T19" si="9">$Y$2/R14+$Y$2/S14+$Y$2/($Z$2*P14)</f>
        <v>5.2080251044640686</v>
      </c>
    </row>
    <row r="15" spans="1:26">
      <c r="A15" s="25">
        <v>1E-3</v>
      </c>
      <c r="B15">
        <v>26.4163778991873</v>
      </c>
      <c r="C15">
        <v>1.21136970867548</v>
      </c>
      <c r="D15">
        <v>73.822662322059998</v>
      </c>
      <c r="E15"/>
      <c r="F15">
        <v>45.8642857142857</v>
      </c>
      <c r="G15">
        <v>45.8642857142857</v>
      </c>
      <c r="H15">
        <v>42.114783068663201</v>
      </c>
      <c r="I15">
        <v>42.657933795553603</v>
      </c>
      <c r="J15">
        <v>2.9287987726039901</v>
      </c>
      <c r="K15">
        <v>155.308920619975</v>
      </c>
      <c r="L15">
        <v>49.706769370515602</v>
      </c>
      <c r="M15">
        <v>2.9327861551674301</v>
      </c>
      <c r="N15">
        <v>265.65877848391199</v>
      </c>
      <c r="O15">
        <v>166.122308107523</v>
      </c>
      <c r="P15">
        <f t="shared" si="5"/>
        <v>77.473587372407394</v>
      </c>
      <c r="Q15">
        <f t="shared" si="6"/>
        <v>0.41304399454460872</v>
      </c>
      <c r="R15" s="23">
        <f t="shared" si="7"/>
        <v>41.863552082623293</v>
      </c>
      <c r="S15" s="23">
        <f t="shared" si="8"/>
        <v>42.247259863335074</v>
      </c>
      <c r="T15">
        <f t="shared" si="9"/>
        <v>5.952016189649604</v>
      </c>
    </row>
    <row r="16" spans="1:26">
      <c r="A16" s="25">
        <v>5.0000000000000001E-4</v>
      </c>
      <c r="B16">
        <v>24.918978950391299</v>
      </c>
      <c r="C16">
        <v>1.2841617653638799</v>
      </c>
      <c r="D16">
        <v>78.462022268571204</v>
      </c>
      <c r="E16"/>
      <c r="F16">
        <v>44.461428571428499</v>
      </c>
      <c r="G16">
        <v>44.461428571428499</v>
      </c>
      <c r="H16">
        <v>42.183657455317999</v>
      </c>
      <c r="I16">
        <v>41.442287986530701</v>
      </c>
      <c r="J16">
        <v>2.41841427435324</v>
      </c>
      <c r="K16">
        <v>156.80909077701699</v>
      </c>
      <c r="L16">
        <v>51.2623475224187</v>
      </c>
      <c r="M16">
        <v>2.4219099236630099</v>
      </c>
      <c r="N16">
        <v>269.66503969410701</v>
      </c>
      <c r="O16">
        <v>174.611246676344</v>
      </c>
      <c r="P16">
        <f t="shared" si="5"/>
        <v>60.351522407502344</v>
      </c>
      <c r="Q16">
        <f t="shared" si="6"/>
        <v>0.53022688945493623</v>
      </c>
      <c r="R16" s="23">
        <f t="shared" si="7"/>
        <v>41.920499929178689</v>
      </c>
      <c r="S16" s="23">
        <f t="shared" si="8"/>
        <v>41.051295746758413</v>
      </c>
      <c r="T16">
        <f t="shared" si="9"/>
        <v>6.3771784113794103</v>
      </c>
    </row>
    <row r="17" spans="1:20">
      <c r="A17" s="25">
        <v>1E-4</v>
      </c>
      <c r="B17">
        <v>19.613434310662001</v>
      </c>
      <c r="C17">
        <v>1.6315347681157699</v>
      </c>
      <c r="D17">
        <v>90.639847590869294</v>
      </c>
      <c r="E17"/>
      <c r="F17">
        <v>39.437142857142803</v>
      </c>
      <c r="G17">
        <v>39.437142857142803</v>
      </c>
      <c r="H17">
        <v>41.591885730808997</v>
      </c>
      <c r="I17">
        <v>37.032310702594501</v>
      </c>
      <c r="J17">
        <v>1.75010133624215</v>
      </c>
      <c r="K17">
        <v>176.18974553741501</v>
      </c>
      <c r="L17">
        <v>63.696620767737301</v>
      </c>
      <c r="M17">
        <v>1.7503772626106999</v>
      </c>
      <c r="N17">
        <v>244.05268240937099</v>
      </c>
      <c r="O17">
        <v>228.11684468924599</v>
      </c>
      <c r="P17">
        <f t="shared" si="5"/>
        <v>34.33090945909133</v>
      </c>
      <c r="Q17">
        <f t="shared" si="6"/>
        <v>0.93210463993477866</v>
      </c>
      <c r="R17" s="23">
        <f t="shared" si="7"/>
        <v>41.233605625292938</v>
      </c>
      <c r="S17" s="23">
        <f t="shared" si="8"/>
        <v>36.728312659953893</v>
      </c>
      <c r="T17">
        <f t="shared" si="9"/>
        <v>7.9347795981488618</v>
      </c>
    </row>
    <row r="18" spans="1:20">
      <c r="A18" s="25">
        <v>5.0000000000000002E-5</v>
      </c>
      <c r="B18">
        <v>17.145389392670701</v>
      </c>
      <c r="C18">
        <v>1.8663909735219599</v>
      </c>
      <c r="D18">
        <v>95.837188588247102</v>
      </c>
      <c r="E18"/>
      <c r="F18">
        <v>37.225714285714197</v>
      </c>
      <c r="G18">
        <v>37.225714285714197</v>
      </c>
      <c r="H18">
        <v>41.303382694768104</v>
      </c>
      <c r="I18">
        <v>35.071104450171397</v>
      </c>
      <c r="J18">
        <v>1.5656608523473901</v>
      </c>
      <c r="K18">
        <v>197.528478256862</v>
      </c>
      <c r="L18">
        <v>74.717692126401701</v>
      </c>
      <c r="M18">
        <v>1.5646905088649901</v>
      </c>
      <c r="N18">
        <v>235.76560663379399</v>
      </c>
      <c r="O18">
        <v>240.95012742753599</v>
      </c>
      <c r="P18">
        <f t="shared" si="5"/>
        <v>26.827228053506321</v>
      </c>
      <c r="Q18">
        <f t="shared" si="6"/>
        <v>1.1928179809027026</v>
      </c>
      <c r="R18" s="23">
        <f t="shared" si="7"/>
        <v>40.885621190600716</v>
      </c>
      <c r="S18" s="23">
        <f t="shared" si="8"/>
        <v>34.775879504103543</v>
      </c>
      <c r="T18">
        <f t="shared" si="9"/>
        <v>8.9075701429971197</v>
      </c>
    </row>
    <row r="19" spans="1:20">
      <c r="A19" s="25">
        <v>1.0000000000000001E-5</v>
      </c>
      <c r="B19">
        <v>12.0839652360801</v>
      </c>
      <c r="C19">
        <v>2.6481373766662801</v>
      </c>
      <c r="D19">
        <v>108.585032190844</v>
      </c>
      <c r="E19"/>
      <c r="F19">
        <v>33.119999999999997</v>
      </c>
      <c r="G19">
        <v>33.119999999999997</v>
      </c>
      <c r="H19">
        <v>40.832020203589799</v>
      </c>
      <c r="I19">
        <v>31.459963186947601</v>
      </c>
      <c r="J19">
        <v>1.3006951607269801</v>
      </c>
      <c r="K19">
        <v>229.799524425366</v>
      </c>
      <c r="L19">
        <v>98.533767968311807</v>
      </c>
      <c r="M19">
        <v>1.30135909888126</v>
      </c>
      <c r="N19">
        <v>223.570563297023</v>
      </c>
      <c r="O19">
        <v>234.31112416556101</v>
      </c>
      <c r="P19">
        <f t="shared" si="5"/>
        <v>15.725578110537672</v>
      </c>
      <c r="Q19">
        <f t="shared" si="6"/>
        <v>2.0349013419453597</v>
      </c>
      <c r="R19" s="23">
        <f t="shared" si="7"/>
        <v>40.224077194403456</v>
      </c>
      <c r="S19" s="23">
        <f t="shared" si="8"/>
        <v>31.114250608993885</v>
      </c>
      <c r="T19">
        <f t="shared" si="9"/>
        <v>11.870677814186795</v>
      </c>
    </row>
    <row r="20" spans="1:20">
      <c r="A20" s="2"/>
    </row>
    <row r="21" spans="1:20">
      <c r="A21" s="2"/>
    </row>
    <row r="22" spans="1:20">
      <c r="A22" s="2" t="s">
        <v>50</v>
      </c>
      <c r="E22" s="2"/>
    </row>
    <row r="23" spans="1:20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24" t="s">
        <v>7</v>
      </c>
      <c r="I23" s="24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21</v>
      </c>
      <c r="Q23" s="1" t="s">
        <v>22</v>
      </c>
      <c r="R23" s="24" t="s">
        <v>23</v>
      </c>
      <c r="S23" s="24" t="s">
        <v>24</v>
      </c>
      <c r="T23" s="1" t="s">
        <v>46</v>
      </c>
    </row>
    <row r="24" spans="1:20">
      <c r="A24" s="25">
        <v>0.01</v>
      </c>
      <c r="B24">
        <v>16.750600512385901</v>
      </c>
      <c r="C24">
        <v>1.9103792712588501</v>
      </c>
      <c r="D24">
        <v>49.8986658626755</v>
      </c>
      <c r="E24"/>
      <c r="F24">
        <v>64.011764857142794</v>
      </c>
      <c r="G24">
        <v>122.664619285714</v>
      </c>
      <c r="H24">
        <v>78.542737924404193</v>
      </c>
      <c r="I24">
        <v>142.89416045166399</v>
      </c>
      <c r="J24">
        <v>1.6022433933577001</v>
      </c>
      <c r="K24">
        <v>150.31849449174101</v>
      </c>
      <c r="L24">
        <v>73.691998623921805</v>
      </c>
      <c r="M24">
        <v>1.6017277579514999</v>
      </c>
      <c r="N24">
        <v>262.48012535096098</v>
      </c>
      <c r="O24">
        <v>202.403666211954</v>
      </c>
      <c r="P24">
        <f>B24*M24</f>
        <v>26.829901803045114</v>
      </c>
      <c r="Q24">
        <f>C24/M24</f>
        <v>1.1926991099299511</v>
      </c>
      <c r="R24" s="23">
        <f>1/(1/H24+1/(N24*B24))</f>
        <v>77.164273687966556</v>
      </c>
      <c r="S24" s="23">
        <f>1/(1/I24+1/(O24*B24))</f>
        <v>137.11517951577039</v>
      </c>
      <c r="T24">
        <f>$Y$2/R24+$Y$2/S24+$Y$2/($Z$2*P24)</f>
        <v>5.6625532901319593</v>
      </c>
    </row>
    <row r="25" spans="1:20">
      <c r="A25" s="25">
        <v>5.0000000000000001E-3</v>
      </c>
      <c r="B25">
        <v>14.032894748010399</v>
      </c>
      <c r="C25">
        <v>2.2803563038579</v>
      </c>
      <c r="D25">
        <v>55.142775693394299</v>
      </c>
      <c r="E25"/>
      <c r="F25">
        <v>62.698496714285703</v>
      </c>
      <c r="G25">
        <v>110.638305714285</v>
      </c>
      <c r="H25">
        <v>76.315734725433003</v>
      </c>
      <c r="I25">
        <v>125.81544862261801</v>
      </c>
      <c r="J25">
        <v>1.4748363558492401</v>
      </c>
      <c r="K25">
        <v>172.72403054461699</v>
      </c>
      <c r="L25">
        <v>84.586738161965101</v>
      </c>
      <c r="M25">
        <v>1.4767735207359101</v>
      </c>
      <c r="N25">
        <v>266.72837567056598</v>
      </c>
      <c r="O25">
        <v>227.456944598598</v>
      </c>
      <c r="P25">
        <f t="shared" ref="P25:P30" si="10">B25*M25</f>
        <v>20.723407383135779</v>
      </c>
      <c r="Q25">
        <f t="shared" ref="Q25:Q30" si="11">C25/M25</f>
        <v>1.5441476108818273</v>
      </c>
      <c r="R25" s="23">
        <f t="shared" ref="R25:R30" si="12">1/(1/H25+1/(N25*B25))</f>
        <v>74.790818836019312</v>
      </c>
      <c r="S25" s="23">
        <f t="shared" ref="S25:S30" si="13">1/(1/I25+1/(O25*B25))</f>
        <v>121.04420593464258</v>
      </c>
      <c r="T25">
        <f t="shared" ref="T25:T30" si="14">$Y$2/R25+$Y$2/S25+$Y$2/($Z$2*P25)</f>
        <v>6.8794703118881131</v>
      </c>
    </row>
    <row r="26" spans="1:20">
      <c r="A26" s="25">
        <v>1E-3</v>
      </c>
      <c r="B26">
        <v>9.5576760850506393</v>
      </c>
      <c r="C26">
        <v>3.3480942140372201</v>
      </c>
      <c r="D26">
        <v>67.691765009836104</v>
      </c>
      <c r="E26"/>
      <c r="F26">
        <v>59.278464142857104</v>
      </c>
      <c r="G26">
        <v>86.715513428571398</v>
      </c>
      <c r="H26">
        <v>71.318031144006298</v>
      </c>
      <c r="I26">
        <v>95.186850938056594</v>
      </c>
      <c r="J26">
        <v>1.3571360656523399</v>
      </c>
      <c r="K26">
        <v>213.141281798378</v>
      </c>
      <c r="L26">
        <v>110.577308346007</v>
      </c>
      <c r="M26">
        <v>1.36003857793686</v>
      </c>
      <c r="N26">
        <v>249.47318561860601</v>
      </c>
      <c r="O26">
        <v>245.008043872586</v>
      </c>
      <c r="P26">
        <f t="shared" si="10"/>
        <v>12.998808191093406</v>
      </c>
      <c r="Q26">
        <f t="shared" si="11"/>
        <v>2.4617641501876983</v>
      </c>
      <c r="R26" s="23">
        <f t="shared" si="12"/>
        <v>69.246826368845404</v>
      </c>
      <c r="S26" s="23">
        <f t="shared" si="13"/>
        <v>91.468783920570985</v>
      </c>
      <c r="T26">
        <f t="shared" si="14"/>
        <v>10.070541756853368</v>
      </c>
    </row>
    <row r="27" spans="1:20">
      <c r="A27" s="25">
        <v>5.0000000000000001E-4</v>
      </c>
      <c r="B27">
        <v>8.1810693572471092</v>
      </c>
      <c r="C27">
        <v>3.9114691005098399</v>
      </c>
      <c r="D27">
        <v>73.388278251673995</v>
      </c>
      <c r="E27"/>
      <c r="F27">
        <v>57.753606571428499</v>
      </c>
      <c r="G27">
        <v>79.470961857142797</v>
      </c>
      <c r="H27">
        <v>69.036005254114201</v>
      </c>
      <c r="I27">
        <v>86.264062850825795</v>
      </c>
      <c r="J27">
        <v>1.3262571286357401</v>
      </c>
      <c r="K27">
        <v>206.046430525787</v>
      </c>
      <c r="L27">
        <v>127.930793930335</v>
      </c>
      <c r="M27">
        <v>1.3278253494405301</v>
      </c>
      <c r="N27">
        <v>244.33672137163501</v>
      </c>
      <c r="O27">
        <v>245.55195492854401</v>
      </c>
      <c r="P27">
        <f t="shared" si="10"/>
        <v>10.863031278083856</v>
      </c>
      <c r="Q27">
        <f t="shared" si="11"/>
        <v>2.9457707688423858</v>
      </c>
      <c r="R27" s="23">
        <f t="shared" si="12"/>
        <v>66.731346011360515</v>
      </c>
      <c r="S27" s="23">
        <f t="shared" si="13"/>
        <v>82.71227980744203</v>
      </c>
      <c r="T27">
        <f t="shared" si="14"/>
        <v>11.726948066584782</v>
      </c>
    </row>
    <row r="28" spans="1:20">
      <c r="A28" s="25">
        <v>1E-4</v>
      </c>
      <c r="B28">
        <v>5.9788315252211</v>
      </c>
      <c r="C28">
        <v>5.3522163762285597</v>
      </c>
      <c r="D28">
        <v>86.877605680829902</v>
      </c>
      <c r="E28"/>
      <c r="F28">
        <v>54.023927999999998</v>
      </c>
      <c r="G28">
        <v>66.555699142857094</v>
      </c>
      <c r="H28">
        <v>63.4120428367725</v>
      </c>
      <c r="I28">
        <v>70.985727720318593</v>
      </c>
      <c r="J28">
        <v>1.25637623882462</v>
      </c>
      <c r="K28">
        <v>235.586385975383</v>
      </c>
      <c r="L28">
        <v>156.39916005082199</v>
      </c>
      <c r="M28">
        <v>1.254511517708</v>
      </c>
      <c r="N28">
        <v>242.69884711212501</v>
      </c>
      <c r="O28">
        <v>243.56768107180099</v>
      </c>
      <c r="P28">
        <f t="shared" si="10"/>
        <v>7.500513010825558</v>
      </c>
      <c r="Q28">
        <f t="shared" si="11"/>
        <v>4.266374840469453</v>
      </c>
      <c r="R28" s="23">
        <f t="shared" si="12"/>
        <v>60.756926755018739</v>
      </c>
      <c r="S28" s="23">
        <f t="shared" si="13"/>
        <v>67.686320157220578</v>
      </c>
      <c r="T28">
        <f t="shared" si="14"/>
        <v>16.198606906852188</v>
      </c>
    </row>
    <row r="29" spans="1:20">
      <c r="A29" s="25">
        <v>5.0000000000000002E-5</v>
      </c>
      <c r="B29">
        <v>5.33491553245939</v>
      </c>
      <c r="C29">
        <v>5.9982205538778199</v>
      </c>
      <c r="D29">
        <v>92.230073227674794</v>
      </c>
      <c r="E29"/>
      <c r="F29">
        <v>52.290661714285697</v>
      </c>
      <c r="G29">
        <v>62.148549285714203</v>
      </c>
      <c r="H29">
        <v>61.1397510914029</v>
      </c>
      <c r="I29">
        <v>65.929753056578093</v>
      </c>
      <c r="J29">
        <v>1.2277557393973</v>
      </c>
      <c r="K29">
        <v>245.17989003062499</v>
      </c>
      <c r="L29">
        <v>157.18853443319799</v>
      </c>
      <c r="M29">
        <v>1.2264833784661</v>
      </c>
      <c r="N29">
        <v>238.43025176194899</v>
      </c>
      <c r="O29">
        <v>242.11130758837299</v>
      </c>
      <c r="P29">
        <f t="shared" si="10"/>
        <v>6.5431852260820653</v>
      </c>
      <c r="Q29">
        <f t="shared" si="11"/>
        <v>4.8905844622040355</v>
      </c>
      <c r="R29" s="23">
        <f t="shared" si="12"/>
        <v>58.335803170845082</v>
      </c>
      <c r="S29" s="23">
        <f t="shared" si="13"/>
        <v>62.727912767558941</v>
      </c>
      <c r="T29">
        <f t="shared" si="14"/>
        <v>18.300984395172453</v>
      </c>
    </row>
    <row r="30" spans="1:20">
      <c r="A30" s="25">
        <v>1.0000000000000001E-5</v>
      </c>
      <c r="B30">
        <v>4.2130008993321901</v>
      </c>
      <c r="C30">
        <v>7.5955360002586998</v>
      </c>
      <c r="D30">
        <v>106.417528300494</v>
      </c>
      <c r="E30"/>
      <c r="F30">
        <v>48.665754714285697</v>
      </c>
      <c r="G30">
        <v>54.272447428571397</v>
      </c>
      <c r="H30">
        <v>56.068376044996597</v>
      </c>
      <c r="I30">
        <v>56.885404616530302</v>
      </c>
      <c r="J30">
        <v>1.1800534962989999</v>
      </c>
      <c r="K30">
        <v>234.45995001078799</v>
      </c>
      <c r="L30">
        <v>176.760824232235</v>
      </c>
      <c r="M30">
        <v>1.1785793834731799</v>
      </c>
      <c r="N30">
        <v>239.26912314409699</v>
      </c>
      <c r="O30">
        <v>246.20880065639301</v>
      </c>
      <c r="P30">
        <f t="shared" si="10"/>
        <v>4.9653560025068852</v>
      </c>
      <c r="Q30">
        <f t="shared" si="11"/>
        <v>6.4446537134183171</v>
      </c>
      <c r="R30" s="23">
        <f t="shared" si="12"/>
        <v>53.114109527339387</v>
      </c>
      <c r="S30" s="23">
        <f t="shared" si="13"/>
        <v>53.927939995932562</v>
      </c>
      <c r="T30">
        <f t="shared" si="14"/>
        <v>23.503536097618429</v>
      </c>
    </row>
    <row r="31" spans="1:20">
      <c r="A31" s="2"/>
    </row>
    <row r="32" spans="1:20">
      <c r="A32" s="2"/>
    </row>
    <row r="33" spans="1:20">
      <c r="A33" s="2" t="s">
        <v>51</v>
      </c>
      <c r="E33" s="2"/>
    </row>
    <row r="34" spans="1:20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24" t="s">
        <v>7</v>
      </c>
      <c r="I34" s="24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21</v>
      </c>
      <c r="Q34" s="1" t="s">
        <v>22</v>
      </c>
      <c r="R34" s="24" t="s">
        <v>23</v>
      </c>
      <c r="S34" s="24" t="s">
        <v>24</v>
      </c>
      <c r="T34" s="1" t="s">
        <v>46</v>
      </c>
    </row>
    <row r="35" spans="1:20">
      <c r="A35" s="25">
        <v>0.01</v>
      </c>
      <c r="B35">
        <v>7.9164029292800997</v>
      </c>
      <c r="C35">
        <v>4.0422399271318996</v>
      </c>
      <c r="D35">
        <v>67.980909106135201</v>
      </c>
      <c r="E35"/>
      <c r="F35"/>
      <c r="G35"/>
      <c r="H35">
        <v>214.67417172962399</v>
      </c>
      <c r="I35">
        <v>453.82084247936803</v>
      </c>
      <c r="J35">
        <v>1.02906603371522</v>
      </c>
      <c r="K35">
        <v>212.24550311058999</v>
      </c>
      <c r="L35">
        <v>118.02683194079</v>
      </c>
      <c r="M35">
        <v>1.02672611464968</v>
      </c>
      <c r="N35">
        <v>241.409046461858</v>
      </c>
      <c r="O35">
        <v>200.24542826573699</v>
      </c>
      <c r="P35">
        <f>B35*M35</f>
        <v>8.1279776215811026</v>
      </c>
      <c r="Q35">
        <f>C35/M35</f>
        <v>3.9370187136139183</v>
      </c>
      <c r="R35" s="23">
        <f>1/(1/H35+1/(N35*B35))</f>
        <v>192.99492206701993</v>
      </c>
      <c r="S35" s="23">
        <f>1/(1/I35+1/(O35*B35))</f>
        <v>352.81599756579482</v>
      </c>
      <c r="T35">
        <f>$Y$2/R35+$Y$2/S35+$Y$2/($Z$2*P35)</f>
        <v>12.900003723789684</v>
      </c>
    </row>
    <row r="36" spans="1:20">
      <c r="A36" s="25">
        <v>5.0000000000000001E-3</v>
      </c>
      <c r="B36">
        <v>6.8345574790299404</v>
      </c>
      <c r="C36">
        <v>4.6820880646894301</v>
      </c>
      <c r="D36">
        <v>73.792961443606302</v>
      </c>
      <c r="E36"/>
      <c r="F36"/>
      <c r="G36"/>
      <c r="H36">
        <v>207.53225962328</v>
      </c>
      <c r="I36">
        <v>411.20594362348498</v>
      </c>
      <c r="J36">
        <v>1.0275344583658701</v>
      </c>
      <c r="K36">
        <v>205.209794318441</v>
      </c>
      <c r="L36">
        <v>122.904683233078</v>
      </c>
      <c r="M36">
        <v>1.0284836934571799</v>
      </c>
      <c r="N36">
        <v>232.53779775863001</v>
      </c>
      <c r="O36">
        <v>206.65127164879499</v>
      </c>
      <c r="P36">
        <f t="shared" ref="P36:P41" si="15">B36*M36</f>
        <v>7.0292309191781053</v>
      </c>
      <c r="Q36">
        <f t="shared" ref="Q36:Q41" si="16">C36/M36</f>
        <v>4.5524183752013609</v>
      </c>
      <c r="R36" s="23">
        <f t="shared" ref="R36:R41" si="17">1/(1/H36+1/(N36*B36))</f>
        <v>183.56240508337348</v>
      </c>
      <c r="S36" s="23">
        <f t="shared" ref="S36:S41" si="18">1/(1/I36+1/(O36*B36))</f>
        <v>318.48135532185768</v>
      </c>
      <c r="T36">
        <f t="shared" ref="T36:T41" si="19">$Y$2/R36+$Y$2/S36+$Y$2/($Z$2*P36)</f>
        <v>14.849367165178194</v>
      </c>
    </row>
    <row r="37" spans="1:20">
      <c r="A37" s="25">
        <v>1E-3</v>
      </c>
      <c r="B37">
        <v>5.0842634295721796</v>
      </c>
      <c r="C37">
        <v>6.2939303683351104</v>
      </c>
      <c r="D37">
        <v>86.748830363252296</v>
      </c>
      <c r="E37"/>
      <c r="F37"/>
      <c r="G37"/>
      <c r="H37">
        <v>193.97950803005301</v>
      </c>
      <c r="I37">
        <v>350.65223520206399</v>
      </c>
      <c r="J37">
        <v>1.02312851813567</v>
      </c>
      <c r="K37">
        <v>215.11211639212499</v>
      </c>
      <c r="L37">
        <v>140.67310727377799</v>
      </c>
      <c r="M37">
        <v>1.0231681877444501</v>
      </c>
      <c r="N37">
        <v>220.347553684123</v>
      </c>
      <c r="O37">
        <v>218.40200465673601</v>
      </c>
      <c r="P37">
        <f t="shared" si="15"/>
        <v>5.2020565992507493</v>
      </c>
      <c r="Q37">
        <f t="shared" si="16"/>
        <v>6.1514132707838876</v>
      </c>
      <c r="R37" s="23">
        <f t="shared" si="17"/>
        <v>165.34944425904877</v>
      </c>
      <c r="S37" s="23">
        <f t="shared" si="18"/>
        <v>266.49653857708938</v>
      </c>
      <c r="T37">
        <f t="shared" si="19"/>
        <v>19.88751086771947</v>
      </c>
    </row>
    <row r="38" spans="1:20">
      <c r="A38" s="25">
        <v>5.0000000000000001E-4</v>
      </c>
      <c r="B38">
        <v>4.5299160527559197</v>
      </c>
      <c r="C38">
        <v>7.0641485686101602</v>
      </c>
      <c r="D38">
        <v>92.932330884078297</v>
      </c>
      <c r="E38"/>
      <c r="F38"/>
      <c r="G38"/>
      <c r="H38">
        <v>190.13859453715</v>
      </c>
      <c r="I38">
        <v>329.17804233536799</v>
      </c>
      <c r="J38">
        <v>1.02296207618107</v>
      </c>
      <c r="K38">
        <v>211.69851807904001</v>
      </c>
      <c r="L38">
        <v>147.47899184117301</v>
      </c>
      <c r="M38">
        <v>1.02630802670392</v>
      </c>
      <c r="N38">
        <v>217.20280465507</v>
      </c>
      <c r="O38">
        <v>220.63962140674201</v>
      </c>
      <c r="P38">
        <f t="shared" si="15"/>
        <v>4.6490892052383384</v>
      </c>
      <c r="Q38">
        <f t="shared" si="16"/>
        <v>6.8830686156643495</v>
      </c>
      <c r="R38" s="23">
        <f t="shared" si="17"/>
        <v>159.34543079462881</v>
      </c>
      <c r="S38" s="23">
        <f t="shared" si="18"/>
        <v>247.62337237160025</v>
      </c>
      <c r="T38">
        <f t="shared" si="19"/>
        <v>22.188792877458869</v>
      </c>
    </row>
    <row r="39" spans="1:20">
      <c r="A39" s="25">
        <v>1E-4</v>
      </c>
      <c r="B39">
        <v>3.5959391459351702</v>
      </c>
      <c r="C39">
        <v>8.8989270122028099</v>
      </c>
      <c r="D39">
        <v>109.51915983108201</v>
      </c>
      <c r="E39"/>
      <c r="F39"/>
      <c r="G39"/>
      <c r="H39">
        <v>185.42808536730001</v>
      </c>
      <c r="I39">
        <v>304.30139514703399</v>
      </c>
      <c r="J39">
        <v>1.0149754745834401</v>
      </c>
      <c r="K39">
        <v>209.51266980548499</v>
      </c>
      <c r="L39">
        <v>161.047047996744</v>
      </c>
      <c r="M39">
        <v>1.01797141638225</v>
      </c>
      <c r="N39">
        <v>207.256421628684</v>
      </c>
      <c r="O39">
        <v>231.961919089129</v>
      </c>
      <c r="P39">
        <f t="shared" si="15"/>
        <v>3.6605632656120033</v>
      </c>
      <c r="Q39">
        <f t="shared" si="16"/>
        <v>8.7418240522199966</v>
      </c>
      <c r="R39" s="23">
        <f t="shared" si="17"/>
        <v>148.48468634087774</v>
      </c>
      <c r="S39" s="23">
        <f t="shared" si="18"/>
        <v>222.96133723964027</v>
      </c>
      <c r="T39">
        <f t="shared" si="19"/>
        <v>27.995800750341548</v>
      </c>
    </row>
    <row r="40" spans="1:20">
      <c r="A40" s="25">
        <v>5.0000000000000002E-5</v>
      </c>
      <c r="B40">
        <v>3.3579957259507198</v>
      </c>
      <c r="C40">
        <v>9.5294939635279103</v>
      </c>
      <c r="D40" t="e">
        <f>-inf</f>
        <v>#NAME?</v>
      </c>
      <c r="E40"/>
      <c r="F40"/>
      <c r="G40"/>
      <c r="H40">
        <v>183.80242472469499</v>
      </c>
      <c r="I40">
        <v>296.91032068180402</v>
      </c>
      <c r="J40">
        <v>1.01454114715479</v>
      </c>
      <c r="K40">
        <v>209.24305995791099</v>
      </c>
      <c r="L40">
        <v>161.76383301674801</v>
      </c>
      <c r="M40">
        <v>1.01504838881208</v>
      </c>
      <c r="N40">
        <v>204.916257351025</v>
      </c>
      <c r="O40">
        <v>231.45954831599801</v>
      </c>
      <c r="P40">
        <f t="shared" si="15"/>
        <v>3.4085281512641292</v>
      </c>
      <c r="Q40">
        <f t="shared" si="16"/>
        <v>9.3882164324011779</v>
      </c>
      <c r="R40" s="23">
        <f t="shared" si="17"/>
        <v>145.05608838402259</v>
      </c>
      <c r="S40" s="23">
        <f t="shared" si="18"/>
        <v>214.84012757028088</v>
      </c>
      <c r="T40">
        <f t="shared" si="19"/>
        <v>30.016573699578046</v>
      </c>
    </row>
    <row r="41" spans="1:20">
      <c r="A41" s="25">
        <v>1.0000000000000001E-5</v>
      </c>
      <c r="B41">
        <v>2.9497798877007999</v>
      </c>
      <c r="C41">
        <v>10.848267063391701</v>
      </c>
      <c r="D41"/>
      <c r="E41"/>
      <c r="F41"/>
      <c r="G41"/>
      <c r="H41">
        <v>179.02875910746201</v>
      </c>
      <c r="I41">
        <v>268.99129865530199</v>
      </c>
      <c r="J41">
        <v>1.0122236188285101</v>
      </c>
      <c r="K41">
        <v>215.70481572305999</v>
      </c>
      <c r="L41">
        <v>176.30270021664001</v>
      </c>
      <c r="M41">
        <v>1.01087726331262</v>
      </c>
      <c r="N41">
        <v>198.84792110121001</v>
      </c>
      <c r="O41">
        <v>238.25018423695201</v>
      </c>
      <c r="P41">
        <f t="shared" si="15"/>
        <v>2.9818654202535919</v>
      </c>
      <c r="Q41">
        <f t="shared" si="16"/>
        <v>10.731537306361206</v>
      </c>
      <c r="R41" s="23">
        <f t="shared" si="17"/>
        <v>137.16372810960698</v>
      </c>
      <c r="S41" s="23">
        <f t="shared" si="18"/>
        <v>194.53355148558148</v>
      </c>
      <c r="T41">
        <f t="shared" si="19"/>
        <v>34.235735567455663</v>
      </c>
    </row>
    <row r="42" spans="1:20">
      <c r="A42" s="2"/>
    </row>
    <row r="43" spans="1:20">
      <c r="A43" s="2"/>
      <c r="E43" s="2"/>
    </row>
    <row r="44" spans="1:20">
      <c r="A44" s="2" t="s">
        <v>52</v>
      </c>
      <c r="E44" s="2"/>
    </row>
    <row r="45" spans="1:20">
      <c r="A45" s="1" t="s">
        <v>19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24" t="s">
        <v>7</v>
      </c>
      <c r="I45" s="24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21</v>
      </c>
      <c r="Q45" s="1" t="s">
        <v>22</v>
      </c>
      <c r="R45" s="24" t="s">
        <v>23</v>
      </c>
      <c r="S45" s="24" t="s">
        <v>24</v>
      </c>
      <c r="T45" s="1" t="s">
        <v>46</v>
      </c>
    </row>
    <row r="46" spans="1:20">
      <c r="A46" s="25">
        <v>0.5</v>
      </c>
      <c r="B46">
        <v>64</v>
      </c>
      <c r="C46">
        <v>0.5</v>
      </c>
      <c r="D46">
        <v>45.1463892857806</v>
      </c>
      <c r="E46"/>
      <c r="F46"/>
      <c r="G46"/>
      <c r="H46">
        <v>475.68475581163</v>
      </c>
      <c r="I46">
        <v>468.17118513960099</v>
      </c>
      <c r="J46">
        <v>1.2463691940775801</v>
      </c>
      <c r="K46">
        <v>74.291591324620398</v>
      </c>
      <c r="L46">
        <v>23.763276600938902</v>
      </c>
      <c r="M46">
        <v>1.24954272254948</v>
      </c>
      <c r="N46">
        <v>213.152262511929</v>
      </c>
      <c r="O46">
        <v>131.259543939038</v>
      </c>
      <c r="P46">
        <f>B46*M46</f>
        <v>79.970734243166717</v>
      </c>
      <c r="Q46">
        <f>C46/M46</f>
        <v>0.40014638233403882</v>
      </c>
      <c r="R46" s="23">
        <f>1/(1/H46+1/(N46*B46))</f>
        <v>459.65662646947345</v>
      </c>
      <c r="S46" s="23">
        <f>1/(1/I46+1/(O46*B46))</f>
        <v>443.45705205308712</v>
      </c>
      <c r="T46">
        <f>$Y$2/R46+$Y$2/S46+$Y$2/($Z$2*P46)</f>
        <v>1.6670509986203337</v>
      </c>
    </row>
    <row r="47" spans="1:20">
      <c r="A47" s="25">
        <v>1</v>
      </c>
      <c r="B47">
        <v>32</v>
      </c>
      <c r="C47">
        <v>1</v>
      </c>
      <c r="D47">
        <v>57.821201597906899</v>
      </c>
      <c r="E47"/>
      <c r="F47"/>
      <c r="G47"/>
      <c r="H47">
        <v>357.38641383079403</v>
      </c>
      <c r="I47">
        <v>412.63749985193198</v>
      </c>
      <c r="J47">
        <v>1.1823298960327699</v>
      </c>
      <c r="K47">
        <v>141.62432425142001</v>
      </c>
      <c r="L47">
        <v>61.437825207817802</v>
      </c>
      <c r="M47">
        <v>1.18247923205081</v>
      </c>
      <c r="N47">
        <v>230.41904981276801</v>
      </c>
      <c r="O47">
        <v>216.871928418468</v>
      </c>
      <c r="P47">
        <f t="shared" ref="P47:P52" si="20">B47*M47</f>
        <v>37.839335425625919</v>
      </c>
      <c r="Q47">
        <f t="shared" ref="Q47:Q52" si="21">C47/M47</f>
        <v>0.84568081442383503</v>
      </c>
      <c r="R47" s="23">
        <f t="shared" ref="R47:R52" si="22">1/(1/H47+1/(N47*B47))</f>
        <v>340.86482295434138</v>
      </c>
      <c r="S47" s="23">
        <f t="shared" ref="S47:S52" si="23">1/(1/I47+1/(O47*B47))</f>
        <v>389.47955380929051</v>
      </c>
      <c r="T47">
        <f t="shared" ref="T47:T53" si="24">$Y$2/R47+$Y$2/S47+$Y$2/($Z$2*P47)</f>
        <v>3.1429881598590463</v>
      </c>
    </row>
    <row r="48" spans="1:20">
      <c r="A48" s="25">
        <v>2</v>
      </c>
      <c r="B48">
        <v>16</v>
      </c>
      <c r="C48">
        <v>2</v>
      </c>
      <c r="D48">
        <v>70.653417010331694</v>
      </c>
      <c r="E48"/>
      <c r="F48"/>
      <c r="G48"/>
      <c r="H48">
        <v>251.080695377501</v>
      </c>
      <c r="I48">
        <v>305.32159327100402</v>
      </c>
      <c r="J48">
        <v>1.0462953524421299</v>
      </c>
      <c r="K48">
        <v>204.09353034625701</v>
      </c>
      <c r="L48">
        <v>130.07104117384901</v>
      </c>
      <c r="M48">
        <v>1.0475139905294799</v>
      </c>
      <c r="N48">
        <v>207.01008313275901</v>
      </c>
      <c r="O48">
        <v>229.21644430229301</v>
      </c>
      <c r="P48">
        <f t="shared" si="20"/>
        <v>16.760223848471679</v>
      </c>
      <c r="Q48">
        <f t="shared" si="21"/>
        <v>1.9092823753018071</v>
      </c>
      <c r="R48" s="23">
        <f t="shared" si="22"/>
        <v>233.38851641798328</v>
      </c>
      <c r="S48" s="23">
        <f t="shared" si="23"/>
        <v>281.85662290196098</v>
      </c>
      <c r="T48">
        <f t="shared" si="24"/>
        <v>6.6443027111828945</v>
      </c>
    </row>
    <row r="49" spans="1:20">
      <c r="A49" s="25">
        <v>4</v>
      </c>
      <c r="B49">
        <v>8</v>
      </c>
      <c r="C49">
        <v>4</v>
      </c>
      <c r="D49">
        <v>86.421744079368295</v>
      </c>
      <c r="E49"/>
      <c r="F49"/>
      <c r="G49"/>
      <c r="H49">
        <v>129.28630093283601</v>
      </c>
      <c r="I49">
        <v>232.72953242360299</v>
      </c>
      <c r="J49">
        <v>1.0538663500288801</v>
      </c>
      <c r="K49">
        <v>189.62519903428</v>
      </c>
      <c r="L49">
        <v>184.70045474174</v>
      </c>
      <c r="M49">
        <v>1.05534351145038</v>
      </c>
      <c r="N49">
        <v>214.390386359698</v>
      </c>
      <c r="O49">
        <v>248.01120833622801</v>
      </c>
      <c r="P49">
        <f t="shared" si="20"/>
        <v>8.4427480916030397</v>
      </c>
      <c r="Q49">
        <f t="shared" si="21"/>
        <v>3.7902350813743282</v>
      </c>
      <c r="R49" s="23">
        <f t="shared" si="22"/>
        <v>120.22380771245129</v>
      </c>
      <c r="S49" s="23">
        <f t="shared" si="23"/>
        <v>208.29676168444198</v>
      </c>
      <c r="T49">
        <f t="shared" si="24"/>
        <v>12.950782928606536</v>
      </c>
    </row>
    <row r="50" spans="1:20">
      <c r="A50" s="25">
        <v>6</v>
      </c>
      <c r="B50">
        <v>5.3333333333333304</v>
      </c>
      <c r="C50">
        <v>6</v>
      </c>
      <c r="D50">
        <v>99.383268941151002</v>
      </c>
      <c r="E50"/>
      <c r="F50"/>
      <c r="G50"/>
      <c r="H50">
        <v>107.933495966764</v>
      </c>
      <c r="I50">
        <v>200.80423889338999</v>
      </c>
      <c r="J50">
        <v>1.0708317466853901</v>
      </c>
      <c r="K50">
        <v>229.09017956679401</v>
      </c>
      <c r="L50">
        <v>195.96527712016899</v>
      </c>
      <c r="M50">
        <v>1.07212317666126</v>
      </c>
      <c r="N50">
        <v>212.65293260763701</v>
      </c>
      <c r="O50">
        <v>258.15125028081002</v>
      </c>
      <c r="P50">
        <f t="shared" si="20"/>
        <v>5.7179902755267165</v>
      </c>
      <c r="Q50">
        <f t="shared" si="21"/>
        <v>5.5963718820861894</v>
      </c>
      <c r="R50" s="23">
        <f t="shared" si="22"/>
        <v>98.554376758368974</v>
      </c>
      <c r="S50" s="23">
        <f t="shared" si="23"/>
        <v>175.24512151079279</v>
      </c>
      <c r="T50">
        <f t="shared" si="24"/>
        <v>18.775929085799756</v>
      </c>
    </row>
    <row r="51" spans="1:20">
      <c r="A51" s="25">
        <v>8</v>
      </c>
      <c r="B51">
        <v>4</v>
      </c>
      <c r="C51">
        <v>8</v>
      </c>
      <c r="D51">
        <v>111.510203615869</v>
      </c>
      <c r="E51"/>
      <c r="F51"/>
      <c r="G51"/>
      <c r="H51">
        <v>91.683312808133294</v>
      </c>
      <c r="I51">
        <v>180.67913244931</v>
      </c>
      <c r="J51">
        <v>1.08006890943582</v>
      </c>
      <c r="K51">
        <v>222.959373553696</v>
      </c>
      <c r="L51">
        <v>231.64198714718501</v>
      </c>
      <c r="M51">
        <v>1.0816326530612199</v>
      </c>
      <c r="N51">
        <v>207.05064298783299</v>
      </c>
      <c r="O51">
        <v>262.49240142811698</v>
      </c>
      <c r="P51">
        <f t="shared" si="20"/>
        <v>4.3265306122448797</v>
      </c>
      <c r="Q51">
        <f t="shared" si="21"/>
        <v>7.3962264150943708</v>
      </c>
      <c r="R51" s="23">
        <f t="shared" si="22"/>
        <v>82.545407784542235</v>
      </c>
      <c r="S51" s="23">
        <f t="shared" si="23"/>
        <v>154.15251450356124</v>
      </c>
      <c r="T51">
        <f t="shared" si="24"/>
        <v>24.583161267570897</v>
      </c>
    </row>
    <row r="52" spans="1:20">
      <c r="A52" s="25">
        <v>12</v>
      </c>
      <c r="B52">
        <v>2.6666666666666599</v>
      </c>
      <c r="C52">
        <v>12</v>
      </c>
      <c r="D52">
        <v>135.47987350781301</v>
      </c>
      <c r="E52"/>
      <c r="F52"/>
      <c r="G52"/>
      <c r="H52">
        <v>59.435567911154202</v>
      </c>
      <c r="I52">
        <v>160.386233535803</v>
      </c>
      <c r="J52">
        <v>1.09155697320206</v>
      </c>
      <c r="K52">
        <v>236.48026389187001</v>
      </c>
      <c r="L52">
        <v>239.314193832455</v>
      </c>
      <c r="M52">
        <v>1.0931989924433201</v>
      </c>
      <c r="N52">
        <v>215.06260775385601</v>
      </c>
      <c r="O52">
        <v>270.08195098292799</v>
      </c>
      <c r="P52">
        <f t="shared" si="20"/>
        <v>2.9151973131821793</v>
      </c>
      <c r="Q52">
        <f t="shared" si="21"/>
        <v>10.976958525345671</v>
      </c>
      <c r="R52" s="23">
        <f t="shared" si="22"/>
        <v>53.854296596544465</v>
      </c>
      <c r="S52" s="23">
        <f t="shared" si="23"/>
        <v>131.17478158932886</v>
      </c>
      <c r="T52">
        <f t="shared" si="24"/>
        <v>36.345289742820725</v>
      </c>
    </row>
    <row r="53" spans="1:20">
      <c r="A53" s="25">
        <v>16</v>
      </c>
      <c r="B53">
        <v>2</v>
      </c>
      <c r="C53">
        <v>16</v>
      </c>
      <c r="D53">
        <v>159.49674004748499</v>
      </c>
      <c r="E53"/>
      <c r="F53"/>
      <c r="G53"/>
      <c r="H53">
        <v>34.8045687443148</v>
      </c>
      <c r="I53">
        <v>151.69779641211599</v>
      </c>
      <c r="J53">
        <v>1.1289380363841099</v>
      </c>
      <c r="K53">
        <v>249.630110698669</v>
      </c>
      <c r="L53">
        <v>241.48128462681299</v>
      </c>
      <c r="M53">
        <v>1.1308743229315099</v>
      </c>
      <c r="N53">
        <v>234.668706088644</v>
      </c>
      <c r="O53">
        <v>269.58840241402498</v>
      </c>
      <c r="P53">
        <f t="shared" ref="P53" si="25">B53*M53</f>
        <v>2.2617486458630198</v>
      </c>
      <c r="Q53">
        <f t="shared" ref="Q53" si="26">C53/M53</f>
        <v>14.148344935911169</v>
      </c>
      <c r="R53" s="23">
        <f t="shared" ref="R53" si="27">1/(1/H53+1/(N53*B53))</f>
        <v>32.401757529776987</v>
      </c>
      <c r="S53" s="23">
        <f t="shared" ref="S53" si="28">1/(1/I53+1/(O53*B53))</f>
        <v>118.38897105512164</v>
      </c>
      <c r="T53">
        <f t="shared" si="24"/>
        <v>47.392245672813829</v>
      </c>
    </row>
    <row r="56" spans="1:20">
      <c r="A56" s="1" t="s">
        <v>20</v>
      </c>
      <c r="E56" s="2"/>
    </row>
    <row r="57" spans="1:20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24" t="s">
        <v>7</v>
      </c>
      <c r="I57" s="24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21</v>
      </c>
      <c r="Q57" s="1" t="s">
        <v>22</v>
      </c>
      <c r="R57" s="24" t="s">
        <v>23</v>
      </c>
      <c r="S57" s="24" t="s">
        <v>24</v>
      </c>
      <c r="T57" s="1" t="s">
        <v>46</v>
      </c>
    </row>
    <row r="58" spans="1:20">
      <c r="A58" s="25">
        <v>0.01</v>
      </c>
      <c r="B58">
        <v>30.593990753136602</v>
      </c>
      <c r="C58">
        <v>1.0459570396751601</v>
      </c>
      <c r="D58">
        <v>49.898665643142799</v>
      </c>
      <c r="E58"/>
      <c r="F58">
        <v>77.283671428571395</v>
      </c>
      <c r="G58">
        <v>84.478357142857107</v>
      </c>
      <c r="H58">
        <v>80.272837517449403</v>
      </c>
      <c r="I58">
        <v>85.615210784269294</v>
      </c>
      <c r="J58">
        <v>1.48306793469418</v>
      </c>
      <c r="K58">
        <v>132.59388386041701</v>
      </c>
      <c r="L58">
        <v>52.0163839245647</v>
      </c>
      <c r="M58">
        <v>1.48376903809625</v>
      </c>
      <c r="N58">
        <v>248.79751513944299</v>
      </c>
      <c r="O58">
        <v>169.19060117236401</v>
      </c>
      <c r="P58">
        <f>B58*M58</f>
        <v>45.394416231307062</v>
      </c>
      <c r="Q58">
        <f>C58/M58</f>
        <v>0.70493251498034715</v>
      </c>
      <c r="R58" s="23">
        <f>1/(1/H58+1/(N58*B58))</f>
        <v>79.435117319745885</v>
      </c>
      <c r="S58" s="23">
        <f>1/(1/I58+1/(O58*B58))</f>
        <v>84.22216633663642</v>
      </c>
      <c r="T58">
        <f>$Y$2/R58+$Y$2/S58+$Y$2/($Z$2*P58)</f>
        <v>4.5764962497170618</v>
      </c>
    </row>
    <row r="59" spans="1:20">
      <c r="A59" s="25">
        <v>5.0000000000000001E-3</v>
      </c>
      <c r="B59">
        <v>27.0394683732085</v>
      </c>
      <c r="C59">
        <v>1.1834552202848201</v>
      </c>
      <c r="D59">
        <v>55.142775471938798</v>
      </c>
      <c r="E59"/>
      <c r="F59">
        <v>77.2230285714285</v>
      </c>
      <c r="G59">
        <v>84.379957142857094</v>
      </c>
      <c r="H59">
        <v>80.286158996895693</v>
      </c>
      <c r="I59">
        <v>85.497579423823097</v>
      </c>
      <c r="J59">
        <v>1.4421370669506199</v>
      </c>
      <c r="K59">
        <v>143.59682229946799</v>
      </c>
      <c r="L59">
        <v>57.548586280188601</v>
      </c>
      <c r="M59">
        <v>1.4441298764861199</v>
      </c>
      <c r="N59">
        <v>248.39346574548401</v>
      </c>
      <c r="O59">
        <v>167.07422450594501</v>
      </c>
      <c r="P59">
        <f t="shared" ref="P59:P64" si="29">B59*M59</f>
        <v>39.048504122051938</v>
      </c>
      <c r="Q59">
        <f t="shared" ref="Q59:Q64" si="30">C59/M59</f>
        <v>0.81949362003673965</v>
      </c>
      <c r="R59" s="23">
        <f t="shared" ref="R59:R64" si="31">1/(1/H59+1/(N59*B59))</f>
        <v>79.337778959658792</v>
      </c>
      <c r="S59" s="23">
        <f t="shared" ref="S59:S64" si="32">1/(1/I59+1/(O59*B59))</f>
        <v>83.909553359948589</v>
      </c>
      <c r="T59">
        <f t="shared" ref="T59:T64" si="33">$Y$2/R59+$Y$2/S59+$Y$2/($Z$2*P59)</f>
        <v>4.9347806930391593</v>
      </c>
    </row>
    <row r="60" spans="1:20">
      <c r="A60" s="25">
        <v>1E-3</v>
      </c>
      <c r="B60">
        <v>19.188321703369901</v>
      </c>
      <c r="C60">
        <v>1.66768102467137</v>
      </c>
      <c r="D60">
        <v>67.6918024671604</v>
      </c>
      <c r="E60"/>
      <c r="F60">
        <v>77.109271428571404</v>
      </c>
      <c r="G60">
        <v>83.909157142857097</v>
      </c>
      <c r="H60">
        <v>80.193329575798799</v>
      </c>
      <c r="I60">
        <v>85.022118367758196</v>
      </c>
      <c r="J60">
        <v>1.41175603515449</v>
      </c>
      <c r="K60">
        <v>176.64523752196601</v>
      </c>
      <c r="L60">
        <v>79.133460562765094</v>
      </c>
      <c r="M60">
        <v>1.4147620256456199</v>
      </c>
      <c r="N60">
        <v>251.91375990561099</v>
      </c>
      <c r="O60">
        <v>185.382092608889</v>
      </c>
      <c r="P60">
        <f t="shared" si="29"/>
        <v>27.146908881799412</v>
      </c>
      <c r="Q60">
        <f t="shared" si="30"/>
        <v>1.1787714077993658</v>
      </c>
      <c r="R60" s="23">
        <f t="shared" si="31"/>
        <v>78.884624677184107</v>
      </c>
      <c r="S60" s="23">
        <f t="shared" si="32"/>
        <v>83.037391056960786</v>
      </c>
      <c r="T60">
        <f t="shared" si="33"/>
        <v>6.0594301314582362</v>
      </c>
    </row>
    <row r="61" spans="1:20">
      <c r="A61" s="25">
        <v>5.0000000000000001E-4</v>
      </c>
      <c r="B61">
        <v>16.406840389127002</v>
      </c>
      <c r="C61">
        <v>1.95040600390107</v>
      </c>
      <c r="D61">
        <v>73.388401862415193</v>
      </c>
      <c r="E61"/>
      <c r="F61">
        <v>76.930371428571405</v>
      </c>
      <c r="G61">
        <v>83.763657142857099</v>
      </c>
      <c r="H61">
        <v>80.1893553913565</v>
      </c>
      <c r="I61">
        <v>84.851678843958396</v>
      </c>
      <c r="J61">
        <v>1.39540559847893</v>
      </c>
      <c r="K61">
        <v>184.83880480713799</v>
      </c>
      <c r="L61">
        <v>89.183971276130805</v>
      </c>
      <c r="M61">
        <v>1.39358967215931</v>
      </c>
      <c r="N61">
        <v>260.41842475931298</v>
      </c>
      <c r="O61">
        <v>197.26033119265699</v>
      </c>
      <c r="P61">
        <f t="shared" si="29"/>
        <v>22.864403319053622</v>
      </c>
      <c r="Q61">
        <f t="shared" si="30"/>
        <v>1.3995554379209743</v>
      </c>
      <c r="R61" s="23">
        <f t="shared" si="31"/>
        <v>78.712080042576616</v>
      </c>
      <c r="S61" s="23">
        <f t="shared" si="32"/>
        <v>82.683891692705402</v>
      </c>
      <c r="T61">
        <f t="shared" si="33"/>
        <v>6.7464034122941028</v>
      </c>
    </row>
    <row r="62" spans="1:20">
      <c r="A62" s="25">
        <v>1E-4</v>
      </c>
      <c r="B62">
        <v>11.796568431822299</v>
      </c>
      <c r="C62">
        <v>2.7126532758184898</v>
      </c>
      <c r="D62">
        <v>86.876287644694401</v>
      </c>
      <c r="E62"/>
      <c r="F62">
        <v>77.205699999999993</v>
      </c>
      <c r="G62">
        <v>83.583299999999994</v>
      </c>
      <c r="H62">
        <v>80.1538768350688</v>
      </c>
      <c r="I62">
        <v>84.670976935045601</v>
      </c>
      <c r="J62">
        <v>1.30680298378321</v>
      </c>
      <c r="K62">
        <v>199.03467262654101</v>
      </c>
      <c r="L62">
        <v>113.60335420595101</v>
      </c>
      <c r="M62">
        <v>1.3078065586607699</v>
      </c>
      <c r="N62">
        <v>268.318411635161</v>
      </c>
      <c r="O62">
        <v>205.025296949645</v>
      </c>
      <c r="P62">
        <f t="shared" si="29"/>
        <v>15.427629564827797</v>
      </c>
      <c r="Q62">
        <f t="shared" si="30"/>
        <v>2.0742006972318001</v>
      </c>
      <c r="R62" s="23">
        <f t="shared" si="31"/>
        <v>78.174255520821319</v>
      </c>
      <c r="S62" s="23">
        <f t="shared" si="32"/>
        <v>81.807048548433045</v>
      </c>
      <c r="T62">
        <f t="shared" si="33"/>
        <v>8.8430926908814325</v>
      </c>
    </row>
    <row r="63" spans="1:20">
      <c r="A63" s="25">
        <v>5.0000000000000002E-5</v>
      </c>
      <c r="B63">
        <v>10.4613005696716</v>
      </c>
      <c r="C63">
        <v>3.05889308761199</v>
      </c>
      <c r="D63">
        <v>92.225731089715893</v>
      </c>
      <c r="E63"/>
      <c r="F63">
        <v>77.168942857142795</v>
      </c>
      <c r="G63">
        <v>83.429299999999998</v>
      </c>
      <c r="H63">
        <v>80.158191201210101</v>
      </c>
      <c r="I63">
        <v>84.5945619902392</v>
      </c>
      <c r="J63">
        <v>1.26275125265553</v>
      </c>
      <c r="K63">
        <v>209.90590607528301</v>
      </c>
      <c r="L63">
        <v>125.521273232339</v>
      </c>
      <c r="M63">
        <v>1.2648707885169901</v>
      </c>
      <c r="N63">
        <v>270.01638145849</v>
      </c>
      <c r="O63">
        <v>206.245132757909</v>
      </c>
      <c r="P63">
        <f t="shared" si="29"/>
        <v>13.232193500473754</v>
      </c>
      <c r="Q63">
        <f t="shared" si="30"/>
        <v>2.4183443205281216</v>
      </c>
      <c r="R63" s="23">
        <f t="shared" si="31"/>
        <v>77.946280887498119</v>
      </c>
      <c r="S63" s="23">
        <f t="shared" si="32"/>
        <v>81.402927983082222</v>
      </c>
      <c r="T63">
        <f t="shared" si="33"/>
        <v>9.9113941728544059</v>
      </c>
    </row>
    <row r="64" spans="1:20">
      <c r="A64" s="25">
        <v>1.0000000000000001E-5</v>
      </c>
      <c r="B64">
        <v>8.1715041310211092</v>
      </c>
      <c r="C64">
        <v>3.91604770516114</v>
      </c>
      <c r="D64">
        <v>9.1117395795495</v>
      </c>
      <c r="E64"/>
      <c r="F64">
        <v>77.025428571428506</v>
      </c>
      <c r="G64">
        <v>83.377885714285696</v>
      </c>
      <c r="H64">
        <v>80.082617390947107</v>
      </c>
      <c r="I64">
        <v>84.471350338018297</v>
      </c>
      <c r="J64">
        <v>1.2030664836260301</v>
      </c>
      <c r="K64">
        <v>222.36867417225801</v>
      </c>
      <c r="L64">
        <v>147.77255812434299</v>
      </c>
      <c r="M64">
        <v>1.2037143050157399</v>
      </c>
      <c r="N64">
        <v>268.28251273107702</v>
      </c>
      <c r="O64">
        <v>223.00977150522201</v>
      </c>
      <c r="P64">
        <f t="shared" si="29"/>
        <v>9.8361564160053216</v>
      </c>
      <c r="Q64">
        <f t="shared" si="30"/>
        <v>3.2533032870369794</v>
      </c>
      <c r="R64" s="23">
        <f t="shared" si="31"/>
        <v>77.26033493746057</v>
      </c>
      <c r="S64" s="23">
        <f t="shared" si="32"/>
        <v>80.729257995740809</v>
      </c>
      <c r="T64">
        <f t="shared" si="33"/>
        <v>12.501174919924591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  <c r="B68" s="1" t="s">
        <v>43</v>
      </c>
    </row>
    <row r="69" spans="1:21">
      <c r="A69" s="2"/>
      <c r="B69" s="1" t="s">
        <v>53</v>
      </c>
      <c r="C69" s="1" t="s">
        <v>54</v>
      </c>
      <c r="D69" s="1" t="s">
        <v>55</v>
      </c>
      <c r="E69" s="1" t="s">
        <v>56</v>
      </c>
      <c r="F69" s="19" t="s">
        <v>57</v>
      </c>
      <c r="G69" s="19" t="s">
        <v>58</v>
      </c>
      <c r="H69" s="22" t="s">
        <v>59</v>
      </c>
      <c r="I69" s="22" t="s">
        <v>60</v>
      </c>
      <c r="J69" s="19" t="s">
        <v>41</v>
      </c>
      <c r="K69" s="19" t="s">
        <v>42</v>
      </c>
      <c r="L69" s="1" t="s">
        <v>61</v>
      </c>
      <c r="M69" s="1" t="s">
        <v>62</v>
      </c>
    </row>
    <row r="70" spans="1:21">
      <c r="A70" s="2"/>
      <c r="B70" s="1">
        <v>1.1790890156644191</v>
      </c>
      <c r="C70" s="1">
        <v>49.898665608633898</v>
      </c>
      <c r="D70" s="1">
        <v>1.9103792712588561</v>
      </c>
      <c r="E70" s="1">
        <v>49.8986658626755</v>
      </c>
      <c r="F70" s="1">
        <v>4.0422399271319067</v>
      </c>
      <c r="G70" s="1">
        <v>67.980909106135201</v>
      </c>
      <c r="H70" s="24">
        <v>0.5</v>
      </c>
      <c r="I70" s="24">
        <v>45.1463892857806</v>
      </c>
      <c r="J70" s="1">
        <v>1.0459570396751607</v>
      </c>
      <c r="K70" s="1">
        <v>49.898665643142799</v>
      </c>
      <c r="L70" s="1">
        <v>1.1239611930410189</v>
      </c>
      <c r="M70" s="1">
        <v>59.027712882101198</v>
      </c>
    </row>
    <row r="71" spans="1:21">
      <c r="A71" s="2"/>
      <c r="B71" s="1">
        <v>1.2242316570875851</v>
      </c>
      <c r="C71" s="1">
        <v>55.142775441778703</v>
      </c>
      <c r="D71" s="1">
        <v>2.2803563038579049</v>
      </c>
      <c r="E71" s="2">
        <v>55.142775693394299</v>
      </c>
      <c r="F71" s="1">
        <v>4.6820880646894354</v>
      </c>
      <c r="G71" s="1">
        <v>73.792961443606302</v>
      </c>
      <c r="H71" s="24">
        <v>1</v>
      </c>
      <c r="I71" s="24">
        <v>57.821201597906899</v>
      </c>
      <c r="J71" s="1">
        <v>1.1834552202848241</v>
      </c>
      <c r="K71" s="1">
        <v>55.142775471938798</v>
      </c>
      <c r="L71" s="1">
        <v>1.137059169302916</v>
      </c>
      <c r="M71" s="1">
        <v>63.1888077939171</v>
      </c>
    </row>
    <row r="72" spans="1:21">
      <c r="A72" s="2"/>
      <c r="B72" s="1">
        <v>1.3960422280093905</v>
      </c>
      <c r="C72" s="1">
        <v>67.691765357852105</v>
      </c>
      <c r="D72" s="1">
        <v>3.348094214037225</v>
      </c>
      <c r="E72" s="1">
        <v>67.691765009836104</v>
      </c>
      <c r="F72" s="1">
        <v>6.2939303683351184</v>
      </c>
      <c r="G72" s="1">
        <v>86.748830363252296</v>
      </c>
      <c r="H72" s="24">
        <v>2</v>
      </c>
      <c r="I72" s="24">
        <v>70.653417010331694</v>
      </c>
      <c r="J72" s="1">
        <v>1.6676810246713802</v>
      </c>
      <c r="K72" s="1">
        <v>67.6918024671604</v>
      </c>
      <c r="L72" s="1">
        <v>1.2178188503080356</v>
      </c>
      <c r="M72" s="1">
        <v>73.822662322059998</v>
      </c>
      <c r="U72" t="s">
        <v>25</v>
      </c>
    </row>
    <row r="73" spans="1:21">
      <c r="A73" s="2"/>
      <c r="B73" s="1">
        <v>1.5312782208320777</v>
      </c>
      <c r="C73" s="1">
        <v>73.388278613131803</v>
      </c>
      <c r="D73" s="1">
        <v>3.9114691005098443</v>
      </c>
      <c r="E73" s="1">
        <v>73.388278251673995</v>
      </c>
      <c r="F73" s="1">
        <v>7.0641485686101788</v>
      </c>
      <c r="G73" s="1">
        <v>92.932330884078297</v>
      </c>
      <c r="H73" s="24">
        <v>4</v>
      </c>
      <c r="I73" s="24">
        <v>86.421744079368295</v>
      </c>
      <c r="J73" s="1">
        <v>1.9504060039010778</v>
      </c>
      <c r="K73" s="1">
        <v>73.388401862415193</v>
      </c>
      <c r="L73" s="1">
        <v>1.2906631084577842</v>
      </c>
      <c r="M73" s="1">
        <v>78.462022268571204</v>
      </c>
    </row>
    <row r="74" spans="1:21">
      <c r="A74" s="2"/>
      <c r="B74" s="1">
        <v>2.0907992296099702</v>
      </c>
      <c r="C74" s="1">
        <v>86.876288283458194</v>
      </c>
      <c r="D74" s="1">
        <v>5.3522163762285686</v>
      </c>
      <c r="E74" s="2">
        <v>86.877605680829902</v>
      </c>
      <c r="F74" s="1">
        <v>8.8989270122028135</v>
      </c>
      <c r="G74" s="1">
        <v>109.51915983108201</v>
      </c>
      <c r="H74" s="24">
        <v>6.0000000000000036</v>
      </c>
      <c r="I74" s="24">
        <v>99.383268941151002</v>
      </c>
      <c r="J74" s="1">
        <v>2.7126532758185116</v>
      </c>
      <c r="K74" s="1">
        <v>86.876287644694401</v>
      </c>
      <c r="L74" s="1">
        <v>1.6381955873035963</v>
      </c>
      <c r="M74" s="1">
        <v>90.639847590869294</v>
      </c>
    </row>
    <row r="75" spans="1:21">
      <c r="A75" s="2"/>
      <c r="B75" s="1">
        <v>2.4378815967331211</v>
      </c>
      <c r="C75" s="1">
        <v>92.225734178437193</v>
      </c>
      <c r="D75" s="1">
        <v>5.9982205538778297</v>
      </c>
      <c r="E75" s="2">
        <v>92.230073227674794</v>
      </c>
      <c r="H75" s="24">
        <v>8</v>
      </c>
      <c r="I75" s="24">
        <v>111.510203615869</v>
      </c>
      <c r="J75" s="1">
        <v>3.058893087612006</v>
      </c>
      <c r="K75" s="1">
        <v>92.225731089715893</v>
      </c>
      <c r="L75" s="1">
        <v>1.8731551463512939</v>
      </c>
      <c r="M75" s="1">
        <v>95.837188588247102</v>
      </c>
    </row>
    <row r="76" spans="1:21">
      <c r="A76" s="2"/>
      <c r="B76" s="1">
        <v>3.5052802906362595</v>
      </c>
      <c r="C76" s="1">
        <v>106.41743216582201</v>
      </c>
      <c r="D76" s="1">
        <v>7.5955360002587167</v>
      </c>
      <c r="E76" s="1">
        <v>106.417528300494</v>
      </c>
      <c r="H76" s="24">
        <v>12.00000000000003</v>
      </c>
      <c r="I76" s="24">
        <v>135.47987350781301</v>
      </c>
      <c r="J76" s="1">
        <v>3.31995502406382</v>
      </c>
      <c r="K76" s="1">
        <v>97.101434006508597</v>
      </c>
      <c r="L76" s="1">
        <v>2.6549902646037431</v>
      </c>
      <c r="M76" s="1">
        <v>108.585032190844</v>
      </c>
    </row>
    <row r="77" spans="1:21">
      <c r="A77" s="2"/>
      <c r="H77" s="24">
        <v>16</v>
      </c>
      <c r="I77" s="24">
        <v>159.49674004748499</v>
      </c>
    </row>
    <row r="78" spans="1:21">
      <c r="A78" s="2"/>
      <c r="E78" s="2"/>
    </row>
    <row r="79" spans="1:21">
      <c r="A79" s="2"/>
      <c r="B79" s="1" t="s">
        <v>40</v>
      </c>
    </row>
    <row r="80" spans="1:21">
      <c r="A80" s="2"/>
      <c r="B80" s="1" t="s">
        <v>53</v>
      </c>
      <c r="C80" s="1" t="s">
        <v>54</v>
      </c>
      <c r="D80" s="1" t="s">
        <v>55</v>
      </c>
      <c r="E80" s="1" t="s">
        <v>56</v>
      </c>
      <c r="F80" s="19" t="s">
        <v>57</v>
      </c>
      <c r="G80" s="19" t="s">
        <v>58</v>
      </c>
      <c r="H80" s="22" t="s">
        <v>59</v>
      </c>
      <c r="I80" s="22" t="s">
        <v>60</v>
      </c>
      <c r="J80" s="19" t="s">
        <v>41</v>
      </c>
      <c r="K80" s="19" t="s">
        <v>42</v>
      </c>
      <c r="L80" s="1" t="s">
        <v>61</v>
      </c>
      <c r="M80" s="1" t="s">
        <v>62</v>
      </c>
    </row>
    <row r="81" spans="1:13">
      <c r="A81" s="2"/>
      <c r="B81" s="1">
        <v>0.4750630242719967</v>
      </c>
      <c r="C81" s="1">
        <v>49.898665608633898</v>
      </c>
      <c r="D81" s="1">
        <v>1.7139136959433321</v>
      </c>
      <c r="E81" s="1">
        <v>49.8986658626755</v>
      </c>
      <c r="F81" s="1">
        <v>12.836969297033241</v>
      </c>
      <c r="G81" s="1">
        <v>67.980909106135201</v>
      </c>
      <c r="H81" s="24">
        <v>0.40014638233403882</v>
      </c>
      <c r="I81" s="24">
        <v>45.1463892857806</v>
      </c>
      <c r="J81" s="1">
        <v>0.72813861714187</v>
      </c>
      <c r="K81" s="1">
        <v>49.898665643142799</v>
      </c>
      <c r="L81" s="1">
        <v>0.18431275504115383</v>
      </c>
      <c r="M81" s="1">
        <v>59.027712882101198</v>
      </c>
    </row>
    <row r="82" spans="1:13">
      <c r="A82" s="2"/>
      <c r="B82" s="1">
        <v>0.55706720758104056</v>
      </c>
      <c r="C82" s="1">
        <v>55.142775441778703</v>
      </c>
      <c r="D82" s="1">
        <v>2.0458418700478034</v>
      </c>
      <c r="E82" s="2">
        <v>55.142775693394299</v>
      </c>
      <c r="F82" s="1">
        <v>14.764119074850148</v>
      </c>
      <c r="G82" s="1">
        <v>73.792961443606302</v>
      </c>
      <c r="H82" s="24">
        <v>0.84568081442383503</v>
      </c>
      <c r="I82" s="24">
        <v>57.821201597906899</v>
      </c>
      <c r="J82" s="1">
        <v>0.81949362003674242</v>
      </c>
      <c r="K82" s="1">
        <v>55.142775471938798</v>
      </c>
      <c r="L82" s="1">
        <v>0.22793384194372823</v>
      </c>
      <c r="M82" s="1">
        <v>63.1888077939171</v>
      </c>
    </row>
    <row r="83" spans="1:13">
      <c r="A83" s="2"/>
      <c r="B83" s="1">
        <v>0.83095352218014873</v>
      </c>
      <c r="C83" s="1">
        <v>67.691765357852105</v>
      </c>
      <c r="D83" s="1">
        <v>3.003772400108649</v>
      </c>
      <c r="E83" s="1">
        <v>67.691765009836104</v>
      </c>
      <c r="F83" s="1">
        <v>19.777178031347397</v>
      </c>
      <c r="G83" s="1">
        <v>86.748830363252296</v>
      </c>
      <c r="H83" s="24">
        <v>1.9092823753018071</v>
      </c>
      <c r="I83" s="24">
        <v>70.653417010331694</v>
      </c>
      <c r="J83" s="1">
        <v>1.1787714077993732</v>
      </c>
      <c r="K83" s="1">
        <v>67.6918024671604</v>
      </c>
      <c r="L83" s="1">
        <v>0.41424049868555834</v>
      </c>
      <c r="M83" s="1">
        <v>73.822662322059998</v>
      </c>
    </row>
    <row r="84" spans="1:13">
      <c r="A84" s="2"/>
      <c r="B84" s="1">
        <v>1.0062759860876467</v>
      </c>
      <c r="C84" s="1">
        <v>73.388278613131803</v>
      </c>
      <c r="D84" s="1">
        <v>3.509209173006457</v>
      </c>
      <c r="E84" s="1">
        <v>73.388278251673995</v>
      </c>
      <c r="F84" s="1">
        <v>22.064978001509921</v>
      </c>
      <c r="G84" s="1">
        <v>92.932330884078297</v>
      </c>
      <c r="H84" s="24">
        <v>3.7902350813743282</v>
      </c>
      <c r="I84" s="24">
        <v>86.421744079368295</v>
      </c>
      <c r="J84" s="1">
        <v>1.3995554379209798</v>
      </c>
      <c r="K84" s="1">
        <v>73.388401862415193</v>
      </c>
      <c r="L84" s="1">
        <v>0.53235820526845778</v>
      </c>
      <c r="M84" s="1">
        <v>78.462022268571204</v>
      </c>
    </row>
    <row r="85" spans="1:13">
      <c r="A85" s="2"/>
      <c r="B85" s="1">
        <v>1.6140186518090505</v>
      </c>
      <c r="C85" s="1">
        <v>86.876288283458194</v>
      </c>
      <c r="D85" s="1">
        <v>4.8017883615464338</v>
      </c>
      <c r="E85" s="2">
        <v>86.877605680829902</v>
      </c>
      <c r="F85" s="1">
        <v>27.86422360311488</v>
      </c>
      <c r="G85" s="1">
        <v>109.51915983108201</v>
      </c>
      <c r="H85" s="24">
        <v>5.596371882086193</v>
      </c>
      <c r="I85" s="24">
        <v>99.383268941151002</v>
      </c>
      <c r="J85" s="1">
        <v>2.0742006972318165</v>
      </c>
      <c r="K85" s="1">
        <v>86.876287644694401</v>
      </c>
      <c r="L85" s="1">
        <v>0.93389546640279342</v>
      </c>
      <c r="M85" s="1">
        <v>90.639847590869294</v>
      </c>
    </row>
    <row r="86" spans="1:13">
      <c r="A86" s="2"/>
      <c r="B86" s="1">
        <v>1.9665443160761074</v>
      </c>
      <c r="C86" s="1">
        <v>92.225734178437193</v>
      </c>
      <c r="D86" s="1">
        <v>5.3813567354118419</v>
      </c>
      <c r="E86" s="2">
        <v>92.230073227674794</v>
      </c>
      <c r="H86" s="24">
        <v>7.3962264150943708</v>
      </c>
      <c r="I86" s="24">
        <v>111.510203615869</v>
      </c>
      <c r="J86" s="1">
        <v>2.4183443205281345</v>
      </c>
      <c r="K86" s="1">
        <v>92.225731089715893</v>
      </c>
      <c r="L86" s="1">
        <v>1.1939350351825397</v>
      </c>
      <c r="M86" s="1">
        <v>95.837188588247102</v>
      </c>
    </row>
    <row r="87" spans="1:13">
      <c r="A87" s="2"/>
      <c r="B87" s="1">
        <v>3.0270360785021997</v>
      </c>
      <c r="C87" s="1">
        <v>106.41743216582201</v>
      </c>
      <c r="D87" s="1">
        <v>6.8144024460104715</v>
      </c>
      <c r="E87" s="1">
        <v>106.417528300494</v>
      </c>
      <c r="H87" s="24">
        <v>10.976958525345699</v>
      </c>
      <c r="I87" s="24">
        <v>135.47987350781301</v>
      </c>
      <c r="J87" s="1">
        <v>2.679305393050988</v>
      </c>
      <c r="K87" s="1">
        <v>97.101434006508597</v>
      </c>
      <c r="L87" s="1">
        <v>2.0383756765663672</v>
      </c>
      <c r="M87" s="1">
        <v>108.585032190844</v>
      </c>
    </row>
    <row r="88" spans="1:13">
      <c r="A88" s="2"/>
      <c r="H88" s="24">
        <v>14.148344935911169</v>
      </c>
      <c r="I88" s="24">
        <v>159.49674004748499</v>
      </c>
    </row>
    <row r="89" spans="1:13">
      <c r="A89" s="2"/>
      <c r="E89" s="2"/>
    </row>
    <row r="90" spans="1:13">
      <c r="A90" s="2"/>
    </row>
    <row r="91" spans="1:13">
      <c r="A91" s="2"/>
      <c r="B91" s="1" t="s">
        <v>47</v>
      </c>
    </row>
    <row r="92" spans="1:13">
      <c r="A92" s="2"/>
      <c r="B92" s="1" t="s">
        <v>53</v>
      </c>
      <c r="C92" s="1" t="s">
        <v>54</v>
      </c>
      <c r="D92" s="1" t="s">
        <v>55</v>
      </c>
      <c r="E92" s="1" t="s">
        <v>56</v>
      </c>
      <c r="F92" s="19" t="s">
        <v>57</v>
      </c>
      <c r="G92" s="19" t="s">
        <v>58</v>
      </c>
      <c r="H92" s="22" t="s">
        <v>59</v>
      </c>
      <c r="I92" s="22" t="s">
        <v>60</v>
      </c>
      <c r="J92" s="19" t="s">
        <v>41</v>
      </c>
      <c r="K92" s="19" t="s">
        <v>42</v>
      </c>
      <c r="L92" s="1" t="s">
        <v>61</v>
      </c>
      <c r="M92" s="1" t="s">
        <v>62</v>
      </c>
    </row>
    <row r="93" spans="1:13">
      <c r="A93" s="2"/>
      <c r="B93">
        <v>3.8427189205177843</v>
      </c>
      <c r="C93" s="1">
        <v>49.898665608633898</v>
      </c>
      <c r="D93" s="1">
        <v>8.2415746896096458</v>
      </c>
      <c r="E93" s="1">
        <v>49.8986658626755</v>
      </c>
      <c r="F93" s="1">
        <v>3.9370187136139254</v>
      </c>
      <c r="G93" s="1">
        <v>67.980909106135201</v>
      </c>
      <c r="H93" s="24">
        <v>1.6459711503488108</v>
      </c>
      <c r="I93" s="24">
        <v>45.1463892857806</v>
      </c>
      <c r="J93" s="1">
        <v>0.72813861714187</v>
      </c>
      <c r="K93" s="1">
        <v>49.898665643142799</v>
      </c>
      <c r="L93" s="1">
        <v>0.18431275504115383</v>
      </c>
      <c r="M93" s="1">
        <v>59.027712882101198</v>
      </c>
    </row>
    <row r="94" spans="1:13">
      <c r="A94" s="2"/>
      <c r="B94">
        <v>4.1114113026537211</v>
      </c>
      <c r="C94" s="1">
        <v>55.142775441778703</v>
      </c>
      <c r="D94" s="1">
        <v>9.4470608281662685</v>
      </c>
      <c r="E94" s="2">
        <v>55.142775693394299</v>
      </c>
      <c r="F94" s="1">
        <v>4.5524183752013663</v>
      </c>
      <c r="G94" s="1">
        <v>73.792961443606302</v>
      </c>
      <c r="H94" s="24">
        <v>3.252431932219138</v>
      </c>
      <c r="I94" s="24">
        <v>57.821201597906899</v>
      </c>
      <c r="J94" s="1">
        <v>0.81949362003674242</v>
      </c>
      <c r="K94" s="1">
        <v>55.142775471938798</v>
      </c>
      <c r="L94" s="1">
        <v>0.22793384194372823</v>
      </c>
      <c r="M94" s="1">
        <v>63.1888077939171</v>
      </c>
    </row>
    <row r="95" spans="1:13">
      <c r="A95" s="2"/>
      <c r="B95">
        <v>5.1784248848038876</v>
      </c>
      <c r="C95" s="1">
        <v>67.691765357852105</v>
      </c>
      <c r="D95" s="1">
        <v>12.843955566737112</v>
      </c>
      <c r="E95" s="1">
        <v>67.691765009836104</v>
      </c>
      <c r="F95" s="1">
        <v>6.1514132707838955</v>
      </c>
      <c r="G95" s="1">
        <v>86.748830363252296</v>
      </c>
      <c r="H95" s="24">
        <v>6.7759715627035586</v>
      </c>
      <c r="I95" s="24">
        <v>70.653417010331694</v>
      </c>
      <c r="J95" s="1">
        <v>1.1787714077993732</v>
      </c>
      <c r="K95" s="1">
        <v>67.6918024671604</v>
      </c>
      <c r="L95" s="1">
        <v>0.41424049868555834</v>
      </c>
      <c r="M95" s="1">
        <v>73.822662322059998</v>
      </c>
    </row>
    <row r="96" spans="1:13">
      <c r="A96" s="2"/>
      <c r="B96">
        <v>5.8878375461906494</v>
      </c>
      <c r="C96" s="1">
        <v>73.388278613131803</v>
      </c>
      <c r="D96" s="1">
        <v>14.606051980670564</v>
      </c>
      <c r="E96" s="1">
        <v>73.388278251673995</v>
      </c>
      <c r="F96" s="1">
        <v>6.8830686156643672</v>
      </c>
      <c r="G96" s="1">
        <v>92.932330884078297</v>
      </c>
      <c r="H96" s="24">
        <v>13.045223255001712</v>
      </c>
      <c r="I96" s="24">
        <v>86.421744079368295</v>
      </c>
      <c r="J96" s="1">
        <v>1.3995554379209798</v>
      </c>
      <c r="K96" s="1">
        <v>73.388401862415193</v>
      </c>
      <c r="L96" s="1">
        <v>0.53235820526845778</v>
      </c>
      <c r="M96" s="1">
        <v>78.462022268571204</v>
      </c>
    </row>
    <row r="97" spans="1:13">
      <c r="A97" s="2"/>
      <c r="B97">
        <v>8.1750251450155815</v>
      </c>
      <c r="C97" s="1">
        <v>86.876288283458194</v>
      </c>
      <c r="D97" s="1">
        <v>19.032851141936092</v>
      </c>
      <c r="E97" s="2">
        <v>86.877605680829902</v>
      </c>
      <c r="F97" s="1">
        <v>8.7418240522200001</v>
      </c>
      <c r="G97" s="1">
        <v>109.51915983108201</v>
      </c>
      <c r="H97" s="24">
        <v>18.870754390881327</v>
      </c>
      <c r="I97" s="24">
        <v>99.383268941151002</v>
      </c>
      <c r="J97" s="1">
        <v>2.0742006972318165</v>
      </c>
      <c r="K97" s="1">
        <v>86.876287644694401</v>
      </c>
      <c r="L97" s="1">
        <v>0.93389546640279342</v>
      </c>
      <c r="M97" s="1">
        <v>90.639847590869294</v>
      </c>
    </row>
    <row r="98" spans="1:13">
      <c r="A98" s="2"/>
      <c r="B98">
        <v>9.3973356391655365</v>
      </c>
      <c r="C98" s="1">
        <v>92.225734178437193</v>
      </c>
      <c r="D98" s="1">
        <v>21.029134959059416</v>
      </c>
      <c r="E98" s="2">
        <v>92.230073227674794</v>
      </c>
      <c r="H98" s="24">
        <v>24.640552522661689</v>
      </c>
      <c r="I98" s="24">
        <v>111.510203615869</v>
      </c>
      <c r="J98" s="1">
        <v>2.4183443205281345</v>
      </c>
      <c r="K98" s="1">
        <v>92.225731089715893</v>
      </c>
      <c r="L98" s="1">
        <v>1.1939350351825397</v>
      </c>
      <c r="M98" s="1">
        <v>95.837188588247102</v>
      </c>
    </row>
    <row r="99" spans="1:13">
      <c r="A99" s="2"/>
      <c r="B99">
        <v>12.889917514614195</v>
      </c>
      <c r="C99" s="1">
        <v>106.41743216582201</v>
      </c>
      <c r="D99" s="1">
        <v>25.91032713012811</v>
      </c>
      <c r="E99" s="1">
        <v>106.417528300494</v>
      </c>
      <c r="H99" s="24">
        <v>35.946221198262016</v>
      </c>
      <c r="I99" s="24">
        <v>135.47987350781301</v>
      </c>
      <c r="J99" s="1">
        <v>2.679305393050988</v>
      </c>
      <c r="K99" s="1">
        <v>97.101434006508597</v>
      </c>
      <c r="L99" s="1">
        <v>2.0383756765663672</v>
      </c>
      <c r="M99" s="1">
        <v>108.585032190844</v>
      </c>
    </row>
    <row r="100" spans="1:13">
      <c r="A100" s="2"/>
      <c r="H100" s="24">
        <v>45.689152378969091</v>
      </c>
      <c r="I100" s="24">
        <v>159.49674004748499</v>
      </c>
    </row>
    <row r="101" spans="1:13">
      <c r="A101" s="2"/>
    </row>
    <row r="102" spans="1:13">
      <c r="A102" s="2"/>
      <c r="E102" s="2"/>
    </row>
    <row r="103" spans="1:13">
      <c r="A103" s="2"/>
      <c r="E103" s="2"/>
    </row>
    <row r="104" spans="1:13">
      <c r="A104" s="2"/>
    </row>
    <row r="105" spans="1:13">
      <c r="A105" s="2"/>
    </row>
    <row r="106" spans="1:13">
      <c r="A106" s="2"/>
      <c r="E106" s="2"/>
    </row>
    <row r="107" spans="1:13">
      <c r="A107" s="2"/>
    </row>
    <row r="108" spans="1:13">
      <c r="A108" s="2"/>
    </row>
    <row r="109" spans="1:13">
      <c r="A109" s="2"/>
      <c r="E109" s="2"/>
    </row>
    <row r="110" spans="1:13">
      <c r="A110" s="2"/>
      <c r="E110" s="2"/>
    </row>
    <row r="111" spans="1:13">
      <c r="A111" s="2"/>
    </row>
    <row r="112" spans="1:13">
      <c r="A112" s="2"/>
    </row>
    <row r="113" spans="1:5">
      <c r="A113" s="2"/>
      <c r="E113" s="2"/>
    </row>
  </sheetData>
  <sortState xmlns:xlrd2="http://schemas.microsoft.com/office/spreadsheetml/2017/richdata2" ref="A58:O64">
    <sortCondition descending="1" ref="A5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959C-EC08-4943-B9FA-F4388093CE7E}">
  <dimension ref="A1:Z113"/>
  <sheetViews>
    <sheetView topLeftCell="A50" workbookViewId="0">
      <selection activeCell="B4" sqref="B4"/>
    </sheetView>
  </sheetViews>
  <sheetFormatPr defaultColWidth="8.7109375" defaultRowHeight="15"/>
  <cols>
    <col min="1" max="7" width="8.7109375" style="1"/>
    <col min="8" max="8" width="10.42578125" style="24" customWidth="1"/>
    <col min="9" max="9" width="8.7109375" style="24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23" customWidth="1"/>
    <col min="19" max="19" width="16.42578125" style="23" customWidth="1"/>
    <col min="20" max="20" width="16.42578125" customWidth="1"/>
  </cols>
  <sheetData>
    <row r="1" spans="1:26">
      <c r="A1" s="1" t="s">
        <v>48</v>
      </c>
      <c r="Y1" t="s">
        <v>44</v>
      </c>
      <c r="Z1" t="s">
        <v>45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4" t="s">
        <v>7</v>
      </c>
      <c r="I2" s="24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21</v>
      </c>
      <c r="Q2" s="1" t="s">
        <v>22</v>
      </c>
      <c r="R2" s="24" t="s">
        <v>23</v>
      </c>
      <c r="S2" s="24" t="s">
        <v>24</v>
      </c>
      <c r="T2" s="1" t="s">
        <v>46</v>
      </c>
      <c r="Y2">
        <f>10*512*512*512*4*100/(1024*1024*1024)</f>
        <v>500</v>
      </c>
      <c r="Z2">
        <v>1</v>
      </c>
    </row>
    <row r="3" spans="1:26">
      <c r="A3" s="25">
        <v>0.01</v>
      </c>
      <c r="B3">
        <v>26.689507026289402</v>
      </c>
      <c r="C3">
        <v>1.1989730634020099</v>
      </c>
      <c r="D3">
        <v>44.775975147042999</v>
      </c>
      <c r="E3"/>
      <c r="F3">
        <v>44.457000000000001</v>
      </c>
      <c r="G3">
        <v>44.457000000000001</v>
      </c>
      <c r="H3">
        <v>55.491165576322899</v>
      </c>
      <c r="I3">
        <v>44.6535049585639</v>
      </c>
      <c r="J3">
        <v>1.0449240297583999</v>
      </c>
      <c r="K3">
        <v>195.61164849001599</v>
      </c>
      <c r="L3">
        <v>141.92483882826099</v>
      </c>
      <c r="M3">
        <v>1.0440710373150299</v>
      </c>
      <c r="N3">
        <v>252.88115400445199</v>
      </c>
      <c r="O3">
        <v>203.023222175641</v>
      </c>
      <c r="P3">
        <f t="shared" ref="P3:P9" si="0">B3*M3</f>
        <v>27.865741286364756</v>
      </c>
      <c r="Q3">
        <f t="shared" ref="Q3:Q9" si="1">C3/M3</f>
        <v>1.148363493048645</v>
      </c>
      <c r="R3" s="23">
        <f t="shared" ref="R3:R9" si="2">1/(1/H3+1/(N3*B3))</f>
        <v>55.038648893926926</v>
      </c>
      <c r="S3" s="23">
        <f t="shared" ref="S3:S9" si="3">1/(1/I3+1/(O3*B3))</f>
        <v>44.288532098141182</v>
      </c>
      <c r="T3">
        <f>$Y$2/R3+$Y$2/S3+$Y$2/($Z$2*P3)</f>
        <v>38.3173091542306</v>
      </c>
    </row>
    <row r="4" spans="1:26">
      <c r="A4" s="25">
        <v>5.0000000000000001E-3</v>
      </c>
      <c r="B4">
        <v>23.747497855143902</v>
      </c>
      <c r="C4">
        <v>1.3475103859444499</v>
      </c>
      <c r="D4">
        <v>50.7899262300621</v>
      </c>
      <c r="E4"/>
      <c r="F4">
        <v>43.969000000000001</v>
      </c>
      <c r="G4">
        <v>43.969000000000001</v>
      </c>
      <c r="H4">
        <v>55.121554405507503</v>
      </c>
      <c r="I4">
        <v>44.153149636097602</v>
      </c>
      <c r="J4">
        <v>1.0032501241207299</v>
      </c>
      <c r="K4">
        <v>201.868659546597</v>
      </c>
      <c r="L4">
        <v>162.87727289534701</v>
      </c>
      <c r="M4">
        <v>1.00397614314115</v>
      </c>
      <c r="N4">
        <v>219.36916408591</v>
      </c>
      <c r="O4">
        <v>233.55958003462601</v>
      </c>
      <c r="P4">
        <f t="shared" si="0"/>
        <v>23.841921305860108</v>
      </c>
      <c r="Q4">
        <f t="shared" si="1"/>
        <v>1.3421737111486345</v>
      </c>
      <c r="R4" s="23">
        <f t="shared" si="2"/>
        <v>54.544418183634654</v>
      </c>
      <c r="S4" s="23">
        <f t="shared" si="3"/>
        <v>43.804439736862435</v>
      </c>
      <c r="T4">
        <f t="shared" ref="T4:T9" si="4">$Y$2/R4+$Y$2/S4+$Y$2/($Z$2*P4)</f>
        <v>41.552673182832478</v>
      </c>
    </row>
    <row r="5" spans="1:26">
      <c r="A5" s="25">
        <v>1E-3</v>
      </c>
      <c r="B5">
        <v>17.707367883800298</v>
      </c>
      <c r="C5">
        <v>1.8071573488499799</v>
      </c>
      <c r="D5">
        <v>64.771407444905506</v>
      </c>
      <c r="E5"/>
      <c r="F5">
        <v>41.777999999999999</v>
      </c>
      <c r="G5">
        <v>41.777999999999999</v>
      </c>
      <c r="H5">
        <v>54.008098522591901</v>
      </c>
      <c r="I5">
        <v>41.947389023538598</v>
      </c>
      <c r="J5">
        <v>0.99869999999999903</v>
      </c>
      <c r="K5">
        <v>219.916234908626</v>
      </c>
      <c r="L5">
        <v>182.19360496305899</v>
      </c>
      <c r="M5">
        <v>1</v>
      </c>
      <c r="N5">
        <v>194.75623640171301</v>
      </c>
      <c r="O5">
        <v>251.927175293381</v>
      </c>
      <c r="P5">
        <f t="shared" si="0"/>
        <v>17.707367883800298</v>
      </c>
      <c r="Q5">
        <f t="shared" si="1"/>
        <v>1.8071573488499799</v>
      </c>
      <c r="R5" s="23">
        <f t="shared" si="2"/>
        <v>53.175331139699416</v>
      </c>
      <c r="S5" s="23">
        <f t="shared" si="3"/>
        <v>41.556623571137628</v>
      </c>
      <c r="T5">
        <f t="shared" si="4"/>
        <v>49.671466258359402</v>
      </c>
    </row>
    <row r="6" spans="1:26">
      <c r="A6" s="25">
        <v>5.0000000000000001E-4</v>
      </c>
      <c r="B6">
        <v>15.9830677036446</v>
      </c>
      <c r="C6">
        <v>2.00211877928183</v>
      </c>
      <c r="D6">
        <v>70.791983666556206</v>
      </c>
      <c r="E6"/>
      <c r="F6">
        <v>40.311999999999998</v>
      </c>
      <c r="G6">
        <v>40.311999999999998</v>
      </c>
      <c r="H6">
        <v>53.755101229438097</v>
      </c>
      <c r="I6">
        <v>40.474973056467803</v>
      </c>
      <c r="J6">
        <v>0.99873999759702003</v>
      </c>
      <c r="K6">
        <v>213.329095706137</v>
      </c>
      <c r="L6">
        <v>194.83732732921399</v>
      </c>
      <c r="M6">
        <v>1</v>
      </c>
      <c r="N6">
        <v>191.890853909481</v>
      </c>
      <c r="O6">
        <v>250.907000622552</v>
      </c>
      <c r="P6">
        <f t="shared" si="0"/>
        <v>15.9830677036446</v>
      </c>
      <c r="Q6">
        <f t="shared" si="1"/>
        <v>2.00211877928183</v>
      </c>
      <c r="R6" s="23">
        <f t="shared" si="2"/>
        <v>52.829169319134856</v>
      </c>
      <c r="S6" s="23">
        <f t="shared" si="3"/>
        <v>40.070547191118912</v>
      </c>
      <c r="T6">
        <f t="shared" si="4"/>
        <v>53.225567074171209</v>
      </c>
    </row>
    <row r="7" spans="1:26">
      <c r="A7" s="25">
        <v>1E-4</v>
      </c>
      <c r="B7">
        <v>10.696585165931999</v>
      </c>
      <c r="C7">
        <v>2.99160895777448</v>
      </c>
      <c r="D7">
        <v>84.771182316618805</v>
      </c>
      <c r="E7"/>
      <c r="F7">
        <v>37.195</v>
      </c>
      <c r="G7">
        <v>37.195</v>
      </c>
      <c r="H7">
        <v>52.176506695077897</v>
      </c>
      <c r="I7">
        <v>37.339934303278902</v>
      </c>
      <c r="J7">
        <v>0.99944983344438798</v>
      </c>
      <c r="K7">
        <v>220.59357069351501</v>
      </c>
      <c r="L7">
        <v>202.01978565975801</v>
      </c>
      <c r="M7">
        <v>1</v>
      </c>
      <c r="N7">
        <v>191.256643299031</v>
      </c>
      <c r="O7">
        <v>250.68581965405801</v>
      </c>
      <c r="P7">
        <f t="shared" si="0"/>
        <v>10.696585165931999</v>
      </c>
      <c r="Q7">
        <f t="shared" si="1"/>
        <v>2.99160895777448</v>
      </c>
      <c r="R7" s="23">
        <f t="shared" si="2"/>
        <v>50.878876831310421</v>
      </c>
      <c r="S7" s="23">
        <f t="shared" si="3"/>
        <v>36.827112715571104</v>
      </c>
      <c r="T7">
        <f t="shared" si="4"/>
        <v>70.148104510516589</v>
      </c>
    </row>
    <row r="8" spans="1:26">
      <c r="A8" s="25">
        <v>5.0000000000000002E-5</v>
      </c>
      <c r="B8">
        <v>8.6031109171054698</v>
      </c>
      <c r="C8">
        <v>3.7195847302601601</v>
      </c>
      <c r="D8">
        <v>90.791718518954298</v>
      </c>
      <c r="E8"/>
      <c r="F8">
        <v>35.671999999999997</v>
      </c>
      <c r="G8">
        <v>35.671999999999997</v>
      </c>
      <c r="H8">
        <v>51.060575076750503</v>
      </c>
      <c r="I8">
        <v>35.831925909282802</v>
      </c>
      <c r="J8">
        <v>1.0011096935280499</v>
      </c>
      <c r="K8">
        <v>223.914908319288</v>
      </c>
      <c r="L8">
        <v>194.43701459964601</v>
      </c>
      <c r="M8">
        <v>1</v>
      </c>
      <c r="N8">
        <v>192.47329889925999</v>
      </c>
      <c r="O8">
        <v>251.54159015719</v>
      </c>
      <c r="P8">
        <f t="shared" si="0"/>
        <v>8.6031109171054698</v>
      </c>
      <c r="Q8">
        <f t="shared" si="1"/>
        <v>3.7195847302601601</v>
      </c>
      <c r="R8" s="23">
        <f t="shared" si="2"/>
        <v>49.533164600706947</v>
      </c>
      <c r="S8" s="23">
        <f t="shared" si="3"/>
        <v>35.248288842827613</v>
      </c>
      <c r="T8">
        <f t="shared" si="4"/>
        <v>82.397844203582935</v>
      </c>
    </row>
    <row r="9" spans="1:26">
      <c r="A9" s="25">
        <v>1.0000000000000001E-5</v>
      </c>
      <c r="B9">
        <v>5.4598421779838304</v>
      </c>
      <c r="C9">
        <v>5.8609752730648896</v>
      </c>
      <c r="D9">
        <v>104.77108080354201</v>
      </c>
      <c r="E9"/>
      <c r="F9">
        <v>32.670999999999999</v>
      </c>
      <c r="G9">
        <v>32.670999999999999</v>
      </c>
      <c r="H9">
        <v>47.765246666644003</v>
      </c>
      <c r="I9">
        <v>32.872052799228896</v>
      </c>
      <c r="J9">
        <v>1.00121983660588</v>
      </c>
      <c r="K9">
        <v>227.575777777073</v>
      </c>
      <c r="L9">
        <v>214.692679673984</v>
      </c>
      <c r="M9">
        <v>1</v>
      </c>
      <c r="N9">
        <v>192.471848224344</v>
      </c>
      <c r="O9">
        <v>253.44653193386199</v>
      </c>
      <c r="P9">
        <f t="shared" si="0"/>
        <v>5.4598421779838304</v>
      </c>
      <c r="Q9">
        <f t="shared" si="1"/>
        <v>5.8609752730648896</v>
      </c>
      <c r="R9" s="23">
        <f t="shared" si="2"/>
        <v>45.688554443892983</v>
      </c>
      <c r="S9" s="23">
        <f t="shared" si="3"/>
        <v>32.109287285202143</v>
      </c>
      <c r="T9">
        <f t="shared" si="4"/>
        <v>118.09321721036375</v>
      </c>
    </row>
    <row r="10" spans="1:26">
      <c r="A10" s="2"/>
    </row>
    <row r="11" spans="1:26">
      <c r="A11" s="2" t="s">
        <v>49</v>
      </c>
    </row>
    <row r="12" spans="1:26" ht="13.5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24" t="s">
        <v>7</v>
      </c>
      <c r="I12" s="24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21</v>
      </c>
      <c r="Q12" s="1" t="s">
        <v>22</v>
      </c>
      <c r="R12" s="24" t="s">
        <v>23</v>
      </c>
      <c r="S12" s="24" t="s">
        <v>24</v>
      </c>
      <c r="T12" s="1" t="s">
        <v>46</v>
      </c>
    </row>
    <row r="13" spans="1:26">
      <c r="A13" s="25">
        <v>0.01</v>
      </c>
      <c r="B13">
        <v>29.411782234473701</v>
      </c>
      <c r="C13">
        <v>1.08799935158273</v>
      </c>
      <c r="D13">
        <v>55.418630785966201</v>
      </c>
      <c r="E13"/>
      <c r="F13">
        <v>53.533999999999999</v>
      </c>
      <c r="G13">
        <v>53.533999999999999</v>
      </c>
      <c r="H13">
        <v>41.853523543681803</v>
      </c>
      <c r="I13">
        <v>48.405874340706902</v>
      </c>
      <c r="J13">
        <v>4.5820881074135604</v>
      </c>
      <c r="K13">
        <v>233.287666992851</v>
      </c>
      <c r="L13">
        <v>141.251496553995</v>
      </c>
      <c r="M13">
        <v>4.59221355954974</v>
      </c>
      <c r="N13">
        <v>363.29240894892098</v>
      </c>
      <c r="O13">
        <v>225.87475337142399</v>
      </c>
      <c r="P13">
        <f t="shared" ref="P13:P19" si="5">B13*M13</f>
        <v>135.06518518767427</v>
      </c>
      <c r="Q13">
        <f t="shared" ref="Q13:Q19" si="6">C13/M13</f>
        <v>0.23692263817308332</v>
      </c>
      <c r="R13" s="23">
        <f t="shared" ref="R13:R19" si="7">1/(1/H13+1/(N13*B13))</f>
        <v>41.690222644758144</v>
      </c>
      <c r="S13" s="23">
        <f t="shared" ref="S13:S19" si="8">1/(1/I13+1/(O13*B13))</f>
        <v>48.055724314334249</v>
      </c>
      <c r="T13">
        <f>$Y$2/R13+$Y$2/S13+$Y$2/($Z$2*P13)</f>
        <v>26.099723672170576</v>
      </c>
    </row>
    <row r="14" spans="1:26">
      <c r="A14" s="25">
        <v>5.0000000000000001E-3</v>
      </c>
      <c r="B14">
        <v>28.948577151572898</v>
      </c>
      <c r="C14">
        <v>1.1054083878613401</v>
      </c>
      <c r="D14">
        <v>58.981531187043203</v>
      </c>
      <c r="E14"/>
      <c r="F14">
        <v>48.741999999999997</v>
      </c>
      <c r="G14">
        <v>48.741999999999997</v>
      </c>
      <c r="H14">
        <v>41.851211046506997</v>
      </c>
      <c r="I14">
        <v>44.449398246891903</v>
      </c>
      <c r="J14">
        <v>3.1020779686947502</v>
      </c>
      <c r="K14">
        <v>219.69224488068599</v>
      </c>
      <c r="L14">
        <v>146.850531238272</v>
      </c>
      <c r="M14">
        <v>3.10492274009989</v>
      </c>
      <c r="N14">
        <v>354.87825049763597</v>
      </c>
      <c r="O14">
        <v>212.59956953328401</v>
      </c>
      <c r="P14">
        <f t="shared" si="5"/>
        <v>89.883095491454796</v>
      </c>
      <c r="Q14">
        <f t="shared" si="6"/>
        <v>0.35601800121628063</v>
      </c>
      <c r="R14" s="23">
        <f t="shared" si="7"/>
        <v>41.681408651551692</v>
      </c>
      <c r="S14" s="23">
        <f t="shared" si="8"/>
        <v>44.130672732752068</v>
      </c>
      <c r="T14">
        <f t="shared" ref="T14:T19" si="9">$Y$2/R14+$Y$2/S14+$Y$2/($Z$2*P14)</f>
        <v>28.888525249069971</v>
      </c>
    </row>
    <row r="15" spans="1:26">
      <c r="A15" s="25">
        <v>1E-3</v>
      </c>
      <c r="B15">
        <v>25.321526023773998</v>
      </c>
      <c r="C15">
        <v>1.2637468993754699</v>
      </c>
      <c r="D15">
        <v>69.351842925048899</v>
      </c>
      <c r="E15"/>
      <c r="F15">
        <v>43.252000000000002</v>
      </c>
      <c r="G15">
        <v>43.252000000000002</v>
      </c>
      <c r="H15">
        <v>41.789796567266897</v>
      </c>
      <c r="I15">
        <v>39.842519625056802</v>
      </c>
      <c r="J15">
        <v>1.38439372178084</v>
      </c>
      <c r="K15">
        <v>222.120288212579</v>
      </c>
      <c r="L15">
        <v>142.41666383291599</v>
      </c>
      <c r="M15">
        <v>1.38429653365629</v>
      </c>
      <c r="N15">
        <v>294.02688595781399</v>
      </c>
      <c r="O15">
        <v>176.19410796771501</v>
      </c>
      <c r="P15">
        <f t="shared" si="5"/>
        <v>35.052500701597886</v>
      </c>
      <c r="Q15">
        <f t="shared" si="6"/>
        <v>0.91291632150344482</v>
      </c>
      <c r="R15" s="23">
        <f t="shared" si="7"/>
        <v>41.556540620403517</v>
      </c>
      <c r="S15" s="23">
        <f t="shared" si="8"/>
        <v>39.489863709226718</v>
      </c>
      <c r="T15">
        <f t="shared" si="9"/>
        <v>38.957594846401079</v>
      </c>
    </row>
    <row r="16" spans="1:26">
      <c r="A16" s="25">
        <v>5.0000000000000001E-4</v>
      </c>
      <c r="B16">
        <v>22.338657822623201</v>
      </c>
      <c r="C16">
        <v>1.4324942999750001</v>
      </c>
      <c r="D16">
        <v>73.823457267049506</v>
      </c>
      <c r="E16"/>
      <c r="F16">
        <v>42.122</v>
      </c>
      <c r="G16">
        <v>42.122</v>
      </c>
      <c r="H16">
        <v>41.725075340083599</v>
      </c>
      <c r="I16">
        <v>38.879237648558501</v>
      </c>
      <c r="J16">
        <v>1.1257228474780101</v>
      </c>
      <c r="K16">
        <v>218.62997458487899</v>
      </c>
      <c r="L16">
        <v>152.273655306443</v>
      </c>
      <c r="M16">
        <v>1.1268281329922001</v>
      </c>
      <c r="N16">
        <v>270.53597154595701</v>
      </c>
      <c r="O16">
        <v>195.35701983781999</v>
      </c>
      <c r="P16">
        <f t="shared" si="5"/>
        <v>25.171828087818106</v>
      </c>
      <c r="Q16">
        <f t="shared" si="6"/>
        <v>1.2712624561219719</v>
      </c>
      <c r="R16" s="23">
        <f t="shared" si="7"/>
        <v>41.438971293359067</v>
      </c>
      <c r="S16" s="23">
        <f t="shared" si="8"/>
        <v>38.535919023915696</v>
      </c>
      <c r="T16">
        <f t="shared" si="9"/>
        <v>44.904320362779188</v>
      </c>
    </row>
    <row r="17" spans="1:20">
      <c r="A17" s="25">
        <v>1E-4</v>
      </c>
      <c r="B17">
        <v>13.360816511928199</v>
      </c>
      <c r="C17">
        <v>2.39506320376685</v>
      </c>
      <c r="D17">
        <v>85.750886954293506</v>
      </c>
      <c r="E17"/>
      <c r="F17">
        <v>38.969000000000001</v>
      </c>
      <c r="G17">
        <v>38.969000000000001</v>
      </c>
      <c r="H17">
        <v>40.7361683707244</v>
      </c>
      <c r="I17">
        <v>36.177685145555799</v>
      </c>
      <c r="J17">
        <v>1.0005863085739399</v>
      </c>
      <c r="K17">
        <v>220.46732928190099</v>
      </c>
      <c r="L17">
        <v>203.04153247054299</v>
      </c>
      <c r="M17">
        <v>1</v>
      </c>
      <c r="N17">
        <v>204.600528199232</v>
      </c>
      <c r="O17">
        <v>247.39360282238599</v>
      </c>
      <c r="P17">
        <f t="shared" si="5"/>
        <v>13.360816511928199</v>
      </c>
      <c r="Q17">
        <f t="shared" si="6"/>
        <v>2.39506320376685</v>
      </c>
      <c r="R17" s="23">
        <f t="shared" si="7"/>
        <v>40.138037034149505</v>
      </c>
      <c r="S17" s="23">
        <f t="shared" si="8"/>
        <v>35.786004134231725</v>
      </c>
      <c r="T17">
        <f t="shared" si="9"/>
        <v>63.851817056503137</v>
      </c>
    </row>
    <row r="18" spans="1:20">
      <c r="A18" s="25">
        <v>5.0000000000000002E-5</v>
      </c>
      <c r="B18">
        <v>10.214344197912</v>
      </c>
      <c r="C18">
        <v>3.13284919520739</v>
      </c>
      <c r="D18">
        <v>91.190255053164904</v>
      </c>
      <c r="E18"/>
      <c r="F18">
        <v>37.209000000000003</v>
      </c>
      <c r="G18">
        <v>37.209000000000003</v>
      </c>
      <c r="H18">
        <v>40.018875816989201</v>
      </c>
      <c r="I18">
        <v>34.656806941717001</v>
      </c>
      <c r="J18">
        <v>0.99869999799739595</v>
      </c>
      <c r="K18">
        <v>222.185402577612</v>
      </c>
      <c r="L18">
        <v>210.27577917978499</v>
      </c>
      <c r="M18">
        <v>1</v>
      </c>
      <c r="N18">
        <v>193.721023117252</v>
      </c>
      <c r="O18">
        <v>250.47118830397599</v>
      </c>
      <c r="P18">
        <f t="shared" si="5"/>
        <v>10.214344197912</v>
      </c>
      <c r="Q18">
        <f t="shared" si="6"/>
        <v>3.13284919520739</v>
      </c>
      <c r="R18" s="23">
        <f t="shared" si="7"/>
        <v>39.225558780140489</v>
      </c>
      <c r="S18" s="23">
        <f t="shared" si="8"/>
        <v>34.193610470176175</v>
      </c>
      <c r="T18">
        <f t="shared" si="9"/>
        <v>76.320174644652155</v>
      </c>
    </row>
    <row r="19" spans="1:20">
      <c r="A19" s="25">
        <v>1.0000000000000001E-5</v>
      </c>
      <c r="B19">
        <v>5.9785121860952799</v>
      </c>
      <c r="C19">
        <v>5.3525022620887199</v>
      </c>
      <c r="D19">
        <v>104.78397050438601</v>
      </c>
      <c r="E19"/>
      <c r="F19">
        <v>33.31</v>
      </c>
      <c r="G19">
        <v>33.31</v>
      </c>
      <c r="H19">
        <v>37.591787228046897</v>
      </c>
      <c r="I19">
        <v>31.3346496595526</v>
      </c>
      <c r="J19">
        <v>0.99966991386524695</v>
      </c>
      <c r="K19">
        <v>227.92177810987101</v>
      </c>
      <c r="L19">
        <v>205.774516443556</v>
      </c>
      <c r="M19">
        <v>1</v>
      </c>
      <c r="N19">
        <v>190.11546411662999</v>
      </c>
      <c r="O19">
        <v>253.31563742239999</v>
      </c>
      <c r="P19">
        <f t="shared" si="5"/>
        <v>5.9785121860952799</v>
      </c>
      <c r="Q19">
        <f t="shared" si="6"/>
        <v>5.3525022620887199</v>
      </c>
      <c r="R19" s="23">
        <f t="shared" si="7"/>
        <v>36.3882927793871</v>
      </c>
      <c r="S19" s="23">
        <f t="shared" si="8"/>
        <v>30.699464239417793</v>
      </c>
      <c r="T19">
        <f t="shared" si="9"/>
        <v>113.66046013749764</v>
      </c>
    </row>
    <row r="20" spans="1:20">
      <c r="A20" s="2"/>
    </row>
    <row r="21" spans="1:20">
      <c r="A21" s="2"/>
    </row>
    <row r="22" spans="1:20">
      <c r="A22" s="2" t="s">
        <v>50</v>
      </c>
      <c r="E22" s="2"/>
    </row>
    <row r="23" spans="1:20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24" t="s">
        <v>7</v>
      </c>
      <c r="I23" s="24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21</v>
      </c>
      <c r="Q23" s="1" t="s">
        <v>22</v>
      </c>
      <c r="R23" s="24" t="s">
        <v>23</v>
      </c>
      <c r="S23" s="24" t="s">
        <v>24</v>
      </c>
      <c r="T23" s="1" t="s">
        <v>46</v>
      </c>
    </row>
    <row r="24" spans="1:20">
      <c r="A24" s="25">
        <v>0.01</v>
      </c>
      <c r="B24">
        <v>10.252735928140099</v>
      </c>
      <c r="C24">
        <v>3.1211181312269098</v>
      </c>
      <c r="D24">
        <v>44.775975450946</v>
      </c>
      <c r="E24"/>
      <c r="F24">
        <v>80.986310500000002</v>
      </c>
      <c r="G24">
        <v>115.5672297</v>
      </c>
      <c r="H24">
        <v>85.264714300278698</v>
      </c>
      <c r="I24">
        <v>117.616178942853</v>
      </c>
      <c r="J24">
        <v>1.9356858726948301</v>
      </c>
      <c r="K24">
        <v>296.379856575156</v>
      </c>
      <c r="L24">
        <v>186.16765760236899</v>
      </c>
      <c r="M24">
        <v>1.9376491153053399</v>
      </c>
      <c r="N24">
        <v>344.12853646078503</v>
      </c>
      <c r="O24">
        <v>217.99736859689401</v>
      </c>
      <c r="P24">
        <f t="shared" ref="P24:P30" si="10">B24*M24</f>
        <v>19.866204700619935</v>
      </c>
      <c r="Q24">
        <f t="shared" ref="Q24:Q30" si="11">C24/M24</f>
        <v>1.6107757109238408</v>
      </c>
      <c r="R24" s="23">
        <f t="shared" ref="R24:R30" si="12">1/(1/H24+1/(N24*B24))</f>
        <v>83.25280790085958</v>
      </c>
      <c r="S24" s="23">
        <f t="shared" ref="S24:S30" si="13">1/(1/I24+1/(O24*B24))</f>
        <v>111.73627498976786</v>
      </c>
      <c r="T24">
        <f>$Y$2/R24+$Y$2/S24+$Y$2/($Z$2*P24)</f>
        <v>35.648996445571662</v>
      </c>
    </row>
    <row r="25" spans="1:20">
      <c r="A25" s="25">
        <v>5.0000000000000001E-3</v>
      </c>
      <c r="B25">
        <v>8.2295784975637396</v>
      </c>
      <c r="C25">
        <v>3.8884129982444602</v>
      </c>
      <c r="D25">
        <v>50.789926538550702</v>
      </c>
      <c r="E25"/>
      <c r="F25">
        <v>76.6639002</v>
      </c>
      <c r="G25">
        <v>111.12275529999999</v>
      </c>
      <c r="H25">
        <v>80.397044611830594</v>
      </c>
      <c r="I25">
        <v>113.03615869582499</v>
      </c>
      <c r="J25">
        <v>1.5609841965468101</v>
      </c>
      <c r="K25">
        <v>294.06889478514</v>
      </c>
      <c r="L25">
        <v>165.57681483466101</v>
      </c>
      <c r="M25">
        <v>1.5635949799312601</v>
      </c>
      <c r="N25">
        <v>319.48418985889998</v>
      </c>
      <c r="O25">
        <v>197.41627431643599</v>
      </c>
      <c r="P25">
        <f t="shared" si="10"/>
        <v>12.867727625740905</v>
      </c>
      <c r="Q25">
        <f t="shared" si="11"/>
        <v>2.4868415722436032</v>
      </c>
      <c r="R25" s="23">
        <f t="shared" si="12"/>
        <v>78.011584174778008</v>
      </c>
      <c r="S25" s="23">
        <f t="shared" si="13"/>
        <v>105.68318930994226</v>
      </c>
      <c r="T25">
        <f t="shared" ref="T25:T30" si="14">$Y$2/R25+$Y$2/S25+$Y$2/($Z$2*P25)</f>
        <v>49.997325511890452</v>
      </c>
    </row>
    <row r="26" spans="1:20">
      <c r="A26" s="25">
        <v>1E-3</v>
      </c>
      <c r="B26">
        <v>5.3743019339200702</v>
      </c>
      <c r="C26">
        <v>5.9542616684840404</v>
      </c>
      <c r="D26">
        <v>64.771407092497796</v>
      </c>
      <c r="E26"/>
      <c r="F26">
        <v>65.978676100000001</v>
      </c>
      <c r="G26">
        <v>107.8402529</v>
      </c>
      <c r="H26">
        <v>68.506155912931902</v>
      </c>
      <c r="I26">
        <v>109.486981411534</v>
      </c>
      <c r="J26">
        <v>1.11240237279626</v>
      </c>
      <c r="K26">
        <v>261.91978120557502</v>
      </c>
      <c r="L26">
        <v>172.637621995659</v>
      </c>
      <c r="M26">
        <v>1.1118127786796299</v>
      </c>
      <c r="N26">
        <v>277.37945352602497</v>
      </c>
      <c r="O26">
        <v>219.30674817583301</v>
      </c>
      <c r="P26">
        <f t="shared" si="10"/>
        <v>5.9752175666149823</v>
      </c>
      <c r="Q26">
        <f t="shared" si="11"/>
        <v>5.3554535283856159</v>
      </c>
      <c r="R26" s="23">
        <f t="shared" si="12"/>
        <v>65.496271445307642</v>
      </c>
      <c r="S26" s="23">
        <f t="shared" si="13"/>
        <v>100.18077242770769</v>
      </c>
      <c r="T26">
        <f t="shared" si="14"/>
        <v>96.303961418649706</v>
      </c>
    </row>
    <row r="27" spans="1:20">
      <c r="A27" s="25">
        <v>5.0000000000000001E-4</v>
      </c>
      <c r="B27">
        <v>4.6263614694334603</v>
      </c>
      <c r="C27">
        <v>6.9168827838951001</v>
      </c>
      <c r="D27">
        <v>70.791983313378296</v>
      </c>
      <c r="E27"/>
      <c r="F27">
        <v>61.912773399999999</v>
      </c>
      <c r="G27">
        <v>106.3440071</v>
      </c>
      <c r="H27">
        <v>64.053409013258303</v>
      </c>
      <c r="I27">
        <v>107.940041877735</v>
      </c>
      <c r="J27">
        <v>1.0578621474254899</v>
      </c>
      <c r="K27">
        <v>257.625246633698</v>
      </c>
      <c r="L27">
        <v>181.17694520166299</v>
      </c>
      <c r="M27">
        <v>1.0577597064289599</v>
      </c>
      <c r="N27">
        <v>268.90982759423798</v>
      </c>
      <c r="O27">
        <v>230.80441433332501</v>
      </c>
      <c r="P27">
        <f t="shared" si="10"/>
        <v>4.8935787497421881</v>
      </c>
      <c r="Q27">
        <f t="shared" si="11"/>
        <v>6.5391815757917078</v>
      </c>
      <c r="R27" s="23">
        <f t="shared" si="12"/>
        <v>60.91698745855134</v>
      </c>
      <c r="S27" s="23">
        <f t="shared" si="13"/>
        <v>98.030364275029399</v>
      </c>
      <c r="T27">
        <f t="shared" si="14"/>
        <v>115.48306372686886</v>
      </c>
    </row>
    <row r="28" spans="1:20">
      <c r="A28" s="25">
        <v>1E-4</v>
      </c>
      <c r="B28">
        <v>3.4744316333333098</v>
      </c>
      <c r="C28">
        <v>9.21013949245555</v>
      </c>
      <c r="D28">
        <v>84.771182612645205</v>
      </c>
      <c r="E28"/>
      <c r="F28">
        <v>53.859289099999998</v>
      </c>
      <c r="G28">
        <v>102.1237186</v>
      </c>
      <c r="H28">
        <v>55.327865279674299</v>
      </c>
      <c r="I28">
        <v>103.46046475930299</v>
      </c>
      <c r="J28">
        <v>1.0364022937105399</v>
      </c>
      <c r="K28">
        <v>255.94587589269801</v>
      </c>
      <c r="L28">
        <v>193.53241085050499</v>
      </c>
      <c r="M28">
        <v>1.0369414302703901</v>
      </c>
      <c r="N28">
        <v>257.53368973626198</v>
      </c>
      <c r="O28">
        <v>237.98215165788301</v>
      </c>
      <c r="P28">
        <f t="shared" si="10"/>
        <v>3.6027821072453299</v>
      </c>
      <c r="Q28">
        <f t="shared" si="11"/>
        <v>8.8820247929084459</v>
      </c>
      <c r="R28" s="23">
        <f t="shared" si="12"/>
        <v>52.105954922191252</v>
      </c>
      <c r="S28" s="23">
        <f t="shared" si="13"/>
        <v>91.954589113476771</v>
      </c>
      <c r="T28">
        <f t="shared" si="14"/>
        <v>153.81493611180051</v>
      </c>
    </row>
    <row r="29" spans="1:20">
      <c r="A29" s="25">
        <v>5.0000000000000002E-5</v>
      </c>
      <c r="B29">
        <v>3.1353768435895399</v>
      </c>
      <c r="C29">
        <v>10.206109694732801</v>
      </c>
      <c r="D29">
        <v>90.791718802428903</v>
      </c>
      <c r="E29"/>
      <c r="F29">
        <v>50.944645999999999</v>
      </c>
      <c r="G29">
        <v>100.4724655</v>
      </c>
      <c r="H29">
        <v>52.231667986494998</v>
      </c>
      <c r="I29">
        <v>101.700319632244</v>
      </c>
      <c r="J29">
        <v>1.0339582808075001</v>
      </c>
      <c r="K29">
        <v>255.89354013209299</v>
      </c>
      <c r="L29">
        <v>195.54466704045899</v>
      </c>
      <c r="M29">
        <v>1.03489854206481</v>
      </c>
      <c r="N29">
        <v>256.99957367652502</v>
      </c>
      <c r="O29">
        <v>241.378990068804</v>
      </c>
      <c r="P29">
        <f t="shared" si="10"/>
        <v>3.2447969242545809</v>
      </c>
      <c r="Q29">
        <f t="shared" si="11"/>
        <v>9.8619422869895672</v>
      </c>
      <c r="R29" s="23">
        <f t="shared" si="12"/>
        <v>49.052091509439407</v>
      </c>
      <c r="S29" s="23">
        <f t="shared" si="13"/>
        <v>89.652816614143859</v>
      </c>
      <c r="T29">
        <f t="shared" si="14"/>
        <v>169.86316313032987</v>
      </c>
    </row>
    <row r="30" spans="1:20">
      <c r="A30" s="25">
        <v>1.0000000000000001E-5</v>
      </c>
      <c r="B30">
        <v>2.55524669441728</v>
      </c>
      <c r="C30">
        <v>12.523252674551401</v>
      </c>
      <c r="D30">
        <v>104.771081075726</v>
      </c>
      <c r="E30"/>
      <c r="F30">
        <v>45.284452999999999</v>
      </c>
      <c r="G30">
        <v>96.021642200000002</v>
      </c>
      <c r="H30">
        <v>46.1664509476986</v>
      </c>
      <c r="I30">
        <v>97.071579889799295</v>
      </c>
      <c r="J30">
        <v>1.0281032691449301</v>
      </c>
      <c r="K30">
        <v>256.575904400051</v>
      </c>
      <c r="L30">
        <v>201.90565798255301</v>
      </c>
      <c r="M30">
        <v>1.0279456591276801</v>
      </c>
      <c r="N30">
        <v>253.76152615308001</v>
      </c>
      <c r="O30">
        <v>249.904697888356</v>
      </c>
      <c r="P30">
        <f t="shared" si="10"/>
        <v>2.6266547475265969</v>
      </c>
      <c r="Q30">
        <f t="shared" si="11"/>
        <v>12.182796399158587</v>
      </c>
      <c r="R30" s="23">
        <f t="shared" si="12"/>
        <v>43.097961688362929</v>
      </c>
      <c r="S30" s="23">
        <f t="shared" si="13"/>
        <v>84.262468039977904</v>
      </c>
      <c r="T30">
        <f t="shared" si="14"/>
        <v>207.89151043544572</v>
      </c>
    </row>
    <row r="31" spans="1:20">
      <c r="A31" s="2"/>
    </row>
    <row r="32" spans="1:20">
      <c r="A32" s="2"/>
    </row>
    <row r="33" spans="1:20">
      <c r="A33" s="2" t="s">
        <v>51</v>
      </c>
      <c r="E33" s="2"/>
    </row>
    <row r="34" spans="1:20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24" t="s">
        <v>7</v>
      </c>
      <c r="I34" s="24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21</v>
      </c>
      <c r="Q34" s="1" t="s">
        <v>22</v>
      </c>
      <c r="R34" s="24" t="s">
        <v>23</v>
      </c>
      <c r="S34" s="24" t="s">
        <v>24</v>
      </c>
      <c r="T34" s="1" t="s">
        <v>46</v>
      </c>
    </row>
    <row r="35" spans="1:20">
      <c r="A35" s="25">
        <v>0.01</v>
      </c>
      <c r="B35">
        <v>3.00630801423649</v>
      </c>
      <c r="C35">
        <v>10.644285232405499</v>
      </c>
      <c r="D35">
        <v>73.041226396686199</v>
      </c>
      <c r="E35"/>
      <c r="F35"/>
      <c r="G35"/>
      <c r="H35">
        <v>144.49625802396901</v>
      </c>
      <c r="I35">
        <v>151.29252284283299</v>
      </c>
      <c r="J35">
        <v>1.0148897685617999</v>
      </c>
      <c r="K35">
        <v>257.04259747135399</v>
      </c>
      <c r="L35">
        <v>165.555768593686</v>
      </c>
      <c r="M35">
        <v>1.0169792694965401</v>
      </c>
      <c r="N35">
        <v>266.30984042665398</v>
      </c>
      <c r="O35">
        <v>210.26889808455601</v>
      </c>
      <c r="P35">
        <f t="shared" ref="P35:P41" si="15">B35*M35</f>
        <v>3.0573529281998195</v>
      </c>
      <c r="Q35">
        <f t="shared" ref="Q35:Q41" si="16">C35/M35</f>
        <v>10.46657051099478</v>
      </c>
      <c r="R35" s="23">
        <f t="shared" ref="R35:R41" si="17">1/(1/H35+1/(N35*B35))</f>
        <v>122.40436994882276</v>
      </c>
      <c r="S35" s="23">
        <f t="shared" ref="S35:S41" si="18">1/(1/I35+1/(O35*B35))</f>
        <v>122.07541840269414</v>
      </c>
      <c r="T35">
        <f>$Y$2/R35+$Y$2/S35+$Y$2/($Z$2*P35)</f>
        <v>171.72081439895882</v>
      </c>
    </row>
    <row r="36" spans="1:20">
      <c r="A36" s="25">
        <v>5.0000000000000001E-3</v>
      </c>
      <c r="B36">
        <v>2.7972155565615302</v>
      </c>
      <c r="C36">
        <v>11.4399478170126</v>
      </c>
      <c r="D36">
        <v>79.022005218861494</v>
      </c>
      <c r="E36"/>
      <c r="F36"/>
      <c r="G36"/>
      <c r="H36">
        <v>144.25191612127799</v>
      </c>
      <c r="I36">
        <v>150.56180961436101</v>
      </c>
      <c r="J36">
        <v>1.01467872309762</v>
      </c>
      <c r="K36">
        <v>257.64669110526</v>
      </c>
      <c r="L36">
        <v>167.91524516654599</v>
      </c>
      <c r="M36">
        <v>1.0149753694581201</v>
      </c>
      <c r="N36">
        <v>265.78777279555402</v>
      </c>
      <c r="O36">
        <v>208.45085780728601</v>
      </c>
      <c r="P36">
        <f t="shared" si="15"/>
        <v>2.83910489297504</v>
      </c>
      <c r="Q36">
        <f t="shared" si="16"/>
        <v>11.271158060830791</v>
      </c>
      <c r="R36" s="23">
        <f t="shared" si="17"/>
        <v>120.81133648721085</v>
      </c>
      <c r="S36" s="23">
        <f t="shared" si="18"/>
        <v>119.66281099114403</v>
      </c>
      <c r="T36">
        <f t="shared" ref="T36:T41" si="19">$Y$2/R36+$Y$2/S36+$Y$2/($Z$2*P36)</f>
        <v>184.42893676227456</v>
      </c>
    </row>
    <row r="37" spans="1:20">
      <c r="A37" s="25">
        <v>1E-3</v>
      </c>
      <c r="B37">
        <v>2.4593789059189999</v>
      </c>
      <c r="C37">
        <v>13.0114151678642</v>
      </c>
      <c r="D37">
        <v>91.0318977461028</v>
      </c>
      <c r="E37"/>
      <c r="F37"/>
      <c r="G37"/>
      <c r="H37">
        <v>141.33817679954399</v>
      </c>
      <c r="I37">
        <v>137.11563354356301</v>
      </c>
      <c r="J37">
        <v>1.00552995216289</v>
      </c>
      <c r="K37">
        <v>236.403903329852</v>
      </c>
      <c r="L37">
        <v>240.803583168226</v>
      </c>
      <c r="M37">
        <v>1.00999999999999</v>
      </c>
      <c r="N37">
        <v>200.59945652605501</v>
      </c>
      <c r="O37">
        <v>254.82461990243999</v>
      </c>
      <c r="P37">
        <f t="shared" si="15"/>
        <v>2.4839726949781653</v>
      </c>
      <c r="Q37">
        <f t="shared" si="16"/>
        <v>12.882589275113197</v>
      </c>
      <c r="R37" s="23">
        <f t="shared" si="17"/>
        <v>109.86370053288478</v>
      </c>
      <c r="S37" s="23">
        <f t="shared" si="18"/>
        <v>112.50178336903546</v>
      </c>
      <c r="T37">
        <f t="shared" si="19"/>
        <v>210.28592515741099</v>
      </c>
    </row>
    <row r="38" spans="1:20">
      <c r="A38" s="25">
        <v>5.0000000000000001E-4</v>
      </c>
      <c r="B38">
        <v>2.2570817185558698</v>
      </c>
      <c r="C38">
        <v>14.1775992144733</v>
      </c>
      <c r="D38">
        <v>97.0477987850213</v>
      </c>
      <c r="E38"/>
      <c r="F38"/>
      <c r="G38"/>
      <c r="H38">
        <v>139.63182518695601</v>
      </c>
      <c r="I38">
        <v>131.47554317431499</v>
      </c>
      <c r="J38">
        <v>1.0042199645536201</v>
      </c>
      <c r="K38">
        <v>234.659600172372</v>
      </c>
      <c r="L38">
        <v>242.92795457777601</v>
      </c>
      <c r="M38">
        <v>1.0009910802774999</v>
      </c>
      <c r="N38">
        <v>194.681309079622</v>
      </c>
      <c r="O38">
        <v>255.04864204302601</v>
      </c>
      <c r="P38">
        <f t="shared" si="15"/>
        <v>2.2593186677318364</v>
      </c>
      <c r="Q38">
        <f t="shared" si="16"/>
        <v>14.163561987528313</v>
      </c>
      <c r="R38" s="23">
        <f t="shared" si="17"/>
        <v>105.96069628705935</v>
      </c>
      <c r="S38" s="23">
        <f t="shared" si="18"/>
        <v>107.03089311746689</v>
      </c>
      <c r="T38">
        <f t="shared" si="19"/>
        <v>230.69593526761051</v>
      </c>
    </row>
    <row r="39" spans="1:20">
      <c r="A39" s="25">
        <v>1E-4</v>
      </c>
      <c r="B39">
        <v>1.8049327488878799</v>
      </c>
      <c r="C39">
        <v>17.729192414352699</v>
      </c>
      <c r="D39" t="e">
        <f>-inf</f>
        <v>#NAME?</v>
      </c>
      <c r="E39"/>
      <c r="F39"/>
      <c r="G39"/>
      <c r="H39">
        <v>138.83119783556</v>
      </c>
      <c r="I39">
        <v>130.48420828952499</v>
      </c>
      <c r="J39">
        <v>1.0004499235388999</v>
      </c>
      <c r="K39">
        <v>233.97687117508301</v>
      </c>
      <c r="L39">
        <v>250.802062244936</v>
      </c>
      <c r="M39">
        <v>1</v>
      </c>
      <c r="N39">
        <v>192.26075239215101</v>
      </c>
      <c r="O39">
        <v>256.28121225891402</v>
      </c>
      <c r="P39">
        <f t="shared" si="15"/>
        <v>1.8049327488878799</v>
      </c>
      <c r="Q39">
        <f t="shared" si="16"/>
        <v>17.729192414352699</v>
      </c>
      <c r="R39" s="23">
        <f t="shared" si="17"/>
        <v>99.160221005309722</v>
      </c>
      <c r="S39" s="23">
        <f t="shared" si="18"/>
        <v>101.77499715402747</v>
      </c>
      <c r="T39">
        <f t="shared" si="19"/>
        <v>286.97377400038431</v>
      </c>
    </row>
    <row r="40" spans="1:20">
      <c r="A40" s="25">
        <v>5.0000000000000002E-5</v>
      </c>
      <c r="B40">
        <v>1.7166403280742499</v>
      </c>
      <c r="C40">
        <v>18.641062706419099</v>
      </c>
      <c r="D40" t="e">
        <f>-inf</f>
        <v>#NAME?</v>
      </c>
      <c r="E40"/>
      <c r="F40"/>
      <c r="G40"/>
      <c r="H40">
        <v>138.87592712151701</v>
      </c>
      <c r="I40">
        <v>130.75509110157401</v>
      </c>
      <c r="J40">
        <v>0.999459997598655</v>
      </c>
      <c r="K40">
        <v>233.902649065481</v>
      </c>
      <c r="L40">
        <v>250.92183453506499</v>
      </c>
      <c r="M40">
        <v>1</v>
      </c>
      <c r="N40">
        <v>190.681986019996</v>
      </c>
      <c r="O40">
        <v>257.37705383875601</v>
      </c>
      <c r="P40">
        <f t="shared" si="15"/>
        <v>1.7166403280742499</v>
      </c>
      <c r="Q40">
        <f t="shared" si="16"/>
        <v>18.641062706419099</v>
      </c>
      <c r="R40" s="23">
        <f t="shared" si="17"/>
        <v>97.507031398195394</v>
      </c>
      <c r="S40" s="23">
        <f t="shared" si="18"/>
        <v>100.89563729581411</v>
      </c>
      <c r="T40">
        <f t="shared" si="19"/>
        <v>301.35005577032365</v>
      </c>
    </row>
    <row r="41" spans="1:20">
      <c r="A41" s="25">
        <v>1.0000000000000001E-5</v>
      </c>
      <c r="B41">
        <v>1.5900684315886</v>
      </c>
      <c r="C41">
        <v>20.124920012423299</v>
      </c>
      <c r="D41"/>
      <c r="E41"/>
      <c r="F41"/>
      <c r="G41"/>
      <c r="H41">
        <v>137.80397507056199</v>
      </c>
      <c r="I41">
        <v>126.40737549553</v>
      </c>
      <c r="J41">
        <v>1.0018599157353401</v>
      </c>
      <c r="K41">
        <v>234.211576845369</v>
      </c>
      <c r="L41">
        <v>251.27616942078299</v>
      </c>
      <c r="M41">
        <v>1</v>
      </c>
      <c r="N41">
        <v>190.626562046732</v>
      </c>
      <c r="O41">
        <v>256.92185707580001</v>
      </c>
      <c r="P41">
        <f t="shared" si="15"/>
        <v>1.5900684315886</v>
      </c>
      <c r="Q41">
        <f t="shared" si="16"/>
        <v>20.124920012423299</v>
      </c>
      <c r="R41" s="23">
        <f t="shared" si="17"/>
        <v>94.7344247904241</v>
      </c>
      <c r="S41" s="23">
        <f t="shared" si="18"/>
        <v>96.536544962846747</v>
      </c>
      <c r="T41">
        <f t="shared" si="19"/>
        <v>324.90917333837797</v>
      </c>
    </row>
    <row r="42" spans="1:20">
      <c r="A42" s="2"/>
    </row>
    <row r="43" spans="1:20">
      <c r="A43" s="2"/>
      <c r="E43" s="2"/>
    </row>
    <row r="44" spans="1:20">
      <c r="A44" s="2" t="s">
        <v>52</v>
      </c>
      <c r="E44" s="2"/>
    </row>
    <row r="45" spans="1:20">
      <c r="A45" s="1" t="s">
        <v>19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24" t="s">
        <v>7</v>
      </c>
      <c r="I45" s="24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21</v>
      </c>
      <c r="Q45" s="1" t="s">
        <v>22</v>
      </c>
      <c r="R45" s="24" t="s">
        <v>23</v>
      </c>
      <c r="S45" s="24" t="s">
        <v>24</v>
      </c>
      <c r="T45" s="1" t="s">
        <v>46</v>
      </c>
    </row>
    <row r="46" spans="1:20">
      <c r="A46" s="25">
        <v>0.5</v>
      </c>
      <c r="B46">
        <v>64</v>
      </c>
      <c r="C46">
        <v>0.5</v>
      </c>
      <c r="D46">
        <v>52.3281061261101</v>
      </c>
      <c r="E46"/>
      <c r="F46"/>
      <c r="G46"/>
      <c r="H46">
        <v>511.61612358523701</v>
      </c>
      <c r="I46">
        <v>476.99972882463197</v>
      </c>
      <c r="J46">
        <v>1.0076754997973401</v>
      </c>
      <c r="K46">
        <v>184.827718160995</v>
      </c>
      <c r="L46">
        <v>84.3318367931832</v>
      </c>
      <c r="M46">
        <v>1.00798403193612</v>
      </c>
      <c r="N46">
        <v>220.070436384988</v>
      </c>
      <c r="O46">
        <v>198.89680962753701</v>
      </c>
      <c r="P46">
        <f>B46*M46</f>
        <v>64.510978043911678</v>
      </c>
      <c r="Q46">
        <f>C46/M46</f>
        <v>0.49603960396039987</v>
      </c>
      <c r="R46" s="23">
        <f>1/(1/H46+1/(N46*B46))</f>
        <v>493.68320817729398</v>
      </c>
      <c r="S46" s="23">
        <f>1/(1/I46+1/(O46*B46))</f>
        <v>459.77105045257315</v>
      </c>
      <c r="T46">
        <f>$Y$2/R46+$Y$2/S46+$Y$2/($Z$2*P46)</f>
        <v>9.850911832407661</v>
      </c>
    </row>
    <row r="47" spans="1:20">
      <c r="A47" s="25">
        <v>1</v>
      </c>
      <c r="B47">
        <v>32</v>
      </c>
      <c r="C47">
        <v>1</v>
      </c>
      <c r="D47">
        <v>61.682782363282101</v>
      </c>
      <c r="E47"/>
      <c r="F47"/>
      <c r="G47"/>
      <c r="H47">
        <v>368.43979567353102</v>
      </c>
      <c r="I47">
        <v>405.57053133575101</v>
      </c>
      <c r="J47">
        <v>0.99849999999999905</v>
      </c>
      <c r="K47">
        <v>186.20202742609899</v>
      </c>
      <c r="L47">
        <v>232.04257681093</v>
      </c>
      <c r="M47">
        <v>1</v>
      </c>
      <c r="N47">
        <v>195.86102945182901</v>
      </c>
      <c r="O47">
        <v>269.80583510252802</v>
      </c>
      <c r="P47">
        <f t="shared" ref="P47:P53" si="20">B47*M47</f>
        <v>32</v>
      </c>
      <c r="Q47">
        <f t="shared" ref="Q47:Q53" si="21">C47/M47</f>
        <v>1</v>
      </c>
      <c r="R47" s="23">
        <f t="shared" ref="R47:R53" si="22">1/(1/H47+1/(N47*B47))</f>
        <v>347.98349193830961</v>
      </c>
      <c r="S47" s="23">
        <f t="shared" ref="S47:S53" si="23">1/(1/I47+1/(O47*B47))</f>
        <v>387.37372250800439</v>
      </c>
      <c r="T47">
        <f t="shared" ref="T47:T53" si="24">$Y$2/R47+$Y$2/S47+$Y$2/($Z$2*P47)</f>
        <v>18.352592973661903</v>
      </c>
    </row>
    <row r="48" spans="1:20">
      <c r="A48" s="25">
        <v>2</v>
      </c>
      <c r="B48">
        <v>16</v>
      </c>
      <c r="C48">
        <v>2</v>
      </c>
      <c r="D48">
        <v>71.004374710709598</v>
      </c>
      <c r="E48"/>
      <c r="F48"/>
      <c r="G48"/>
      <c r="H48">
        <v>233.17582165526099</v>
      </c>
      <c r="I48">
        <v>265.11018327630501</v>
      </c>
      <c r="J48">
        <v>0.99849999999999905</v>
      </c>
      <c r="K48">
        <v>209.89531915122899</v>
      </c>
      <c r="L48">
        <v>229.04477231862001</v>
      </c>
      <c r="M48">
        <v>1</v>
      </c>
      <c r="N48">
        <v>198.488838480358</v>
      </c>
      <c r="O48">
        <v>265.097398410577</v>
      </c>
      <c r="P48">
        <f t="shared" si="20"/>
        <v>16</v>
      </c>
      <c r="Q48">
        <f t="shared" si="21"/>
        <v>2</v>
      </c>
      <c r="R48" s="23">
        <f t="shared" si="22"/>
        <v>217.22656736750591</v>
      </c>
      <c r="S48" s="23">
        <f t="shared" si="23"/>
        <v>249.51475876822983</v>
      </c>
      <c r="T48">
        <f t="shared" si="24"/>
        <v>35.555633718215731</v>
      </c>
    </row>
    <row r="49" spans="1:20">
      <c r="A49" s="25">
        <v>4</v>
      </c>
      <c r="B49">
        <v>8</v>
      </c>
      <c r="C49">
        <v>4</v>
      </c>
      <c r="D49">
        <v>83.698482460038406</v>
      </c>
      <c r="E49"/>
      <c r="F49"/>
      <c r="G49"/>
      <c r="H49">
        <v>111.18257993629101</v>
      </c>
      <c r="I49">
        <v>184.206312860445</v>
      </c>
      <c r="J49">
        <v>0.99849999999999905</v>
      </c>
      <c r="K49">
        <v>224.294591927299</v>
      </c>
      <c r="L49">
        <v>244.60362889813001</v>
      </c>
      <c r="M49">
        <v>1</v>
      </c>
      <c r="N49">
        <v>196.13589393353999</v>
      </c>
      <c r="O49">
        <v>262.17248694798798</v>
      </c>
      <c r="P49">
        <f t="shared" si="20"/>
        <v>8</v>
      </c>
      <c r="Q49">
        <f t="shared" si="21"/>
        <v>4</v>
      </c>
      <c r="R49" s="23">
        <f t="shared" si="22"/>
        <v>103.82568606964011</v>
      </c>
      <c r="S49" s="23">
        <f t="shared" si="23"/>
        <v>169.33421836230374</v>
      </c>
      <c r="T49">
        <f t="shared" si="24"/>
        <v>70.268504460834592</v>
      </c>
    </row>
    <row r="50" spans="1:20">
      <c r="A50" s="25">
        <v>6</v>
      </c>
      <c r="B50">
        <v>5.3333333333333304</v>
      </c>
      <c r="C50">
        <v>6</v>
      </c>
      <c r="D50">
        <v>95.500248718413005</v>
      </c>
      <c r="E50"/>
      <c r="F50"/>
      <c r="G50"/>
      <c r="H50">
        <v>93.546467530938003</v>
      </c>
      <c r="I50">
        <v>164.480409314524</v>
      </c>
      <c r="J50">
        <v>0.99849999999999905</v>
      </c>
      <c r="K50">
        <v>228.30883910889699</v>
      </c>
      <c r="L50">
        <v>248.567959357684</v>
      </c>
      <c r="M50">
        <v>1</v>
      </c>
      <c r="N50">
        <v>195.53937261614101</v>
      </c>
      <c r="O50">
        <v>261.38754213395299</v>
      </c>
      <c r="P50">
        <f t="shared" si="20"/>
        <v>5.3333333333333304</v>
      </c>
      <c r="Q50">
        <f t="shared" si="21"/>
        <v>6</v>
      </c>
      <c r="R50" s="23">
        <f t="shared" si="22"/>
        <v>85.846042027370444</v>
      </c>
      <c r="S50" s="23">
        <f t="shared" si="23"/>
        <v>147.12206219461385</v>
      </c>
      <c r="T50">
        <f t="shared" si="24"/>
        <v>102.97291889691218</v>
      </c>
    </row>
    <row r="51" spans="1:20">
      <c r="A51" s="25">
        <v>8</v>
      </c>
      <c r="B51">
        <v>4</v>
      </c>
      <c r="C51">
        <v>8</v>
      </c>
      <c r="D51">
        <v>107.435836865098</v>
      </c>
      <c r="E51"/>
      <c r="F51"/>
      <c r="G51"/>
      <c r="H51">
        <v>83.351141641241</v>
      </c>
      <c r="I51">
        <v>155.94651976415301</v>
      </c>
      <c r="J51">
        <v>0.99849999999999905</v>
      </c>
      <c r="K51">
        <v>230.14694076567301</v>
      </c>
      <c r="L51">
        <v>248.724266274646</v>
      </c>
      <c r="M51">
        <v>1</v>
      </c>
      <c r="N51">
        <v>197.039732348661</v>
      </c>
      <c r="O51">
        <v>260.43674105725501</v>
      </c>
      <c r="P51">
        <f t="shared" si="20"/>
        <v>4</v>
      </c>
      <c r="Q51">
        <f t="shared" si="21"/>
        <v>8</v>
      </c>
      <c r="R51" s="23">
        <f t="shared" si="22"/>
        <v>75.379446254358712</v>
      </c>
      <c r="S51" s="23">
        <f t="shared" si="23"/>
        <v>135.64139382703138</v>
      </c>
      <c r="T51">
        <f t="shared" si="24"/>
        <v>135.31929826628672</v>
      </c>
    </row>
    <row r="52" spans="1:20">
      <c r="A52" s="25">
        <v>12</v>
      </c>
      <c r="B52">
        <v>2.6666666666666599</v>
      </c>
      <c r="C52">
        <v>12</v>
      </c>
      <c r="D52">
        <v>131.50725207909699</v>
      </c>
      <c r="E52"/>
      <c r="F52"/>
      <c r="G52"/>
      <c r="H52">
        <v>57.0303743296557</v>
      </c>
      <c r="I52">
        <v>143.740862734101</v>
      </c>
      <c r="J52">
        <v>0.99849999999999905</v>
      </c>
      <c r="K52">
        <v>231.93594650564299</v>
      </c>
      <c r="L52">
        <v>249.58396751295899</v>
      </c>
      <c r="M52">
        <v>1</v>
      </c>
      <c r="N52">
        <v>196.57565420225399</v>
      </c>
      <c r="O52">
        <v>260.14870436065303</v>
      </c>
      <c r="P52">
        <f t="shared" si="20"/>
        <v>2.6666666666666599</v>
      </c>
      <c r="Q52">
        <f t="shared" si="21"/>
        <v>12</v>
      </c>
      <c r="R52" s="23">
        <f t="shared" si="22"/>
        <v>51.434565889974976</v>
      </c>
      <c r="S52" s="23">
        <f t="shared" si="23"/>
        <v>119.06962992881795</v>
      </c>
      <c r="T52">
        <f t="shared" si="24"/>
        <v>201.42031274172922</v>
      </c>
    </row>
    <row r="53" spans="1:20">
      <c r="A53" s="25">
        <v>16</v>
      </c>
      <c r="B53">
        <v>2</v>
      </c>
      <c r="C53">
        <v>16</v>
      </c>
      <c r="D53">
        <v>155.563975409687</v>
      </c>
      <c r="E53"/>
      <c r="F53"/>
      <c r="G53"/>
      <c r="H53">
        <v>34.058088839595399</v>
      </c>
      <c r="I53">
        <v>133.46906495692701</v>
      </c>
      <c r="J53">
        <v>0.99849999999999905</v>
      </c>
      <c r="K53">
        <v>232.79145564661201</v>
      </c>
      <c r="L53">
        <v>250.847899163421</v>
      </c>
      <c r="M53">
        <v>1</v>
      </c>
      <c r="N53">
        <v>196.785335588348</v>
      </c>
      <c r="O53">
        <v>260.03190982587199</v>
      </c>
      <c r="P53">
        <f t="shared" si="20"/>
        <v>2</v>
      </c>
      <c r="Q53">
        <f t="shared" si="21"/>
        <v>16</v>
      </c>
      <c r="R53" s="23">
        <f t="shared" si="22"/>
        <v>31.345564510404859</v>
      </c>
      <c r="S53" s="23">
        <f t="shared" si="23"/>
        <v>106.21107730242169</v>
      </c>
      <c r="T53">
        <f t="shared" si="24"/>
        <v>270.65882703917526</v>
      </c>
    </row>
    <row r="56" spans="1:20">
      <c r="A56" s="1" t="s">
        <v>20</v>
      </c>
      <c r="E56" s="2"/>
    </row>
    <row r="57" spans="1:20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24" t="s">
        <v>7</v>
      </c>
      <c r="I57" s="24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21</v>
      </c>
      <c r="Q57" s="1" t="s">
        <v>22</v>
      </c>
      <c r="R57" s="24" t="s">
        <v>23</v>
      </c>
      <c r="S57" s="24" t="s">
        <v>24</v>
      </c>
      <c r="T57" s="1" t="s">
        <v>46</v>
      </c>
    </row>
    <row r="58" spans="1:20">
      <c r="A58" s="25">
        <v>0.01</v>
      </c>
      <c r="B58">
        <v>12.1150196088263</v>
      </c>
      <c r="C58">
        <v>2.6413494185916599</v>
      </c>
      <c r="D58">
        <v>44.775975135301103</v>
      </c>
      <c r="E58"/>
      <c r="F58">
        <v>79.491410000000002</v>
      </c>
      <c r="G58">
        <v>83.595069999999893</v>
      </c>
      <c r="H58">
        <v>80.384594112023706</v>
      </c>
      <c r="I58">
        <v>83.902312606237501</v>
      </c>
      <c r="J58">
        <v>1.4872273709670301</v>
      </c>
      <c r="K58">
        <v>281.79501831023401</v>
      </c>
      <c r="L58">
        <v>156.76261278973601</v>
      </c>
      <c r="M58">
        <v>1.48878433279815</v>
      </c>
      <c r="N58">
        <v>305.126412109309</v>
      </c>
      <c r="O58">
        <v>189.78575012704201</v>
      </c>
      <c r="P58">
        <f t="shared" ref="P58:P64" si="25">B58*M58</f>
        <v>18.036651385162969</v>
      </c>
      <c r="Q58">
        <f t="shared" ref="Q58:Q64" si="26">C58/M58</f>
        <v>1.7741652436839388</v>
      </c>
      <c r="R58" s="23">
        <f t="shared" ref="R58:R64" si="27">1/(1/H58+1/(N58*B58))</f>
        <v>78.673795065074785</v>
      </c>
      <c r="S58" s="23">
        <f t="shared" ref="S58:S64" si="28">1/(1/I58+1/(O58*B58))</f>
        <v>80.948420761644471</v>
      </c>
      <c r="T58">
        <f>$Y$2/R58+$Y$2/S58+$Y$2/($Z$2*P58)</f>
        <v>40.253460999830523</v>
      </c>
    </row>
    <row r="59" spans="1:20">
      <c r="A59" s="25">
        <v>5.0000000000000001E-3</v>
      </c>
      <c r="B59">
        <v>11.2558340439841</v>
      </c>
      <c r="C59">
        <v>2.8429701321958398</v>
      </c>
      <c r="D59">
        <v>50.789926217720698</v>
      </c>
      <c r="E59"/>
      <c r="F59">
        <v>79.425489999999996</v>
      </c>
      <c r="G59">
        <v>83.536580000000001</v>
      </c>
      <c r="H59">
        <v>80.339463429291698</v>
      </c>
      <c r="I59">
        <v>83.845247962955796</v>
      </c>
      <c r="J59">
        <v>1.29116219008424</v>
      </c>
      <c r="K59">
        <v>271.75344262189901</v>
      </c>
      <c r="L59">
        <v>163.07969275541501</v>
      </c>
      <c r="M59">
        <v>1.2922232143827701</v>
      </c>
      <c r="N59">
        <v>288.38225038095902</v>
      </c>
      <c r="O59">
        <v>204.120688922814</v>
      </c>
      <c r="P59">
        <f t="shared" si="25"/>
        <v>14.545050048876147</v>
      </c>
      <c r="Q59">
        <f t="shared" si="26"/>
        <v>2.20006118180889</v>
      </c>
      <c r="R59" s="23">
        <f t="shared" si="27"/>
        <v>78.399053280478938</v>
      </c>
      <c r="S59" s="23">
        <f t="shared" si="28"/>
        <v>80.893184567990545</v>
      </c>
      <c r="T59">
        <f t="shared" ref="T59:T64" si="29">$Y$2/R59+$Y$2/S59+$Y$2/($Z$2*P59)</f>
        <v>46.934574433362471</v>
      </c>
    </row>
    <row r="60" spans="1:20">
      <c r="A60" s="25">
        <v>1E-3</v>
      </c>
      <c r="B60">
        <v>9.8946986737445499</v>
      </c>
      <c r="C60">
        <v>3.2340550283670102</v>
      </c>
      <c r="D60">
        <v>64.771407583985095</v>
      </c>
      <c r="E60"/>
      <c r="F60">
        <v>79.449730000000002</v>
      </c>
      <c r="G60">
        <v>83.444410000000005</v>
      </c>
      <c r="H60">
        <v>80.340299829319704</v>
      </c>
      <c r="I60">
        <v>83.751763175082104</v>
      </c>
      <c r="J60">
        <v>1.1580965087928601</v>
      </c>
      <c r="K60">
        <v>252.20453359251599</v>
      </c>
      <c r="L60">
        <v>167.80854181818299</v>
      </c>
      <c r="M60">
        <v>1.1599999999999999</v>
      </c>
      <c r="N60">
        <v>276.15045048230502</v>
      </c>
      <c r="O60">
        <v>226.04234476852</v>
      </c>
      <c r="P60">
        <f t="shared" si="25"/>
        <v>11.477850461543676</v>
      </c>
      <c r="Q60">
        <f t="shared" si="26"/>
        <v>2.7879784727301815</v>
      </c>
      <c r="R60" s="23">
        <f t="shared" si="27"/>
        <v>78.045560684698586</v>
      </c>
      <c r="S60" s="23">
        <f t="shared" si="28"/>
        <v>80.728818637106045</v>
      </c>
      <c r="T60">
        <f t="shared" si="29"/>
        <v>56.162253017071471</v>
      </c>
    </row>
    <row r="61" spans="1:20">
      <c r="A61" s="25">
        <v>5.0000000000000001E-4</v>
      </c>
      <c r="B61">
        <v>9.0648187484377392</v>
      </c>
      <c r="C61">
        <v>3.53013125668011</v>
      </c>
      <c r="D61">
        <v>70.791983804890094</v>
      </c>
      <c r="E61"/>
      <c r="F61">
        <v>79.427989999999994</v>
      </c>
      <c r="G61">
        <v>83.413719999999998</v>
      </c>
      <c r="H61">
        <v>80.330712996148705</v>
      </c>
      <c r="I61">
        <v>83.7219226375978</v>
      </c>
      <c r="J61">
        <v>1.16879273101488</v>
      </c>
      <c r="K61">
        <v>260.65011206299403</v>
      </c>
      <c r="L61">
        <v>159.48881918574301</v>
      </c>
      <c r="M61">
        <v>1.1689581173997401</v>
      </c>
      <c r="N61">
        <v>277.39548429274703</v>
      </c>
      <c r="O61">
        <v>224.87540812392501</v>
      </c>
      <c r="P61">
        <f t="shared" si="25"/>
        <v>10.596393458743648</v>
      </c>
      <c r="Q61">
        <f t="shared" si="26"/>
        <v>3.0198954129619486</v>
      </c>
      <c r="R61" s="23">
        <f t="shared" si="27"/>
        <v>77.843874654465083</v>
      </c>
      <c r="S61" s="23">
        <f t="shared" si="28"/>
        <v>80.419011902709357</v>
      </c>
      <c r="T61">
        <f t="shared" si="29"/>
        <v>59.826414043390628</v>
      </c>
    </row>
    <row r="62" spans="1:20">
      <c r="A62" s="25">
        <v>1E-4</v>
      </c>
      <c r="B62">
        <v>6.3744796124072796</v>
      </c>
      <c r="C62">
        <v>5.0200176242959804</v>
      </c>
      <c r="D62">
        <v>84.771182431216701</v>
      </c>
      <c r="E62"/>
      <c r="F62">
        <v>79.367270000000005</v>
      </c>
      <c r="G62">
        <v>83.356539999999995</v>
      </c>
      <c r="H62">
        <v>80.2602738708392</v>
      </c>
      <c r="I62">
        <v>83.671495695870703</v>
      </c>
      <c r="J62">
        <v>1.2217567459782801</v>
      </c>
      <c r="K62">
        <v>272.25677052323698</v>
      </c>
      <c r="L62">
        <v>184.29332822587401</v>
      </c>
      <c r="M62">
        <v>1.2239804241435499</v>
      </c>
      <c r="N62">
        <v>287.01852486390999</v>
      </c>
      <c r="O62">
        <v>242.40385980315301</v>
      </c>
      <c r="P62">
        <f t="shared" si="25"/>
        <v>7.8022382596886732</v>
      </c>
      <c r="Q62">
        <f t="shared" si="26"/>
        <v>4.1013871833845821</v>
      </c>
      <c r="R62" s="23">
        <f t="shared" si="27"/>
        <v>76.887392210005757</v>
      </c>
      <c r="S62" s="23">
        <f t="shared" si="28"/>
        <v>79.373473525539481</v>
      </c>
      <c r="T62">
        <f t="shared" si="29"/>
        <v>76.886525240126858</v>
      </c>
    </row>
    <row r="63" spans="1:20">
      <c r="A63" s="25">
        <v>5.0000000000000002E-5</v>
      </c>
      <c r="B63">
        <v>5.4065078471638204</v>
      </c>
      <c r="C63">
        <v>5.9187928519861002</v>
      </c>
      <c r="D63">
        <v>90.791718636616807</v>
      </c>
      <c r="E63"/>
      <c r="F63">
        <v>79.356979999999993</v>
      </c>
      <c r="G63">
        <v>83.336089999999999</v>
      </c>
      <c r="H63">
        <v>80.2724429551307</v>
      </c>
      <c r="I63">
        <v>83.641915634574801</v>
      </c>
      <c r="J63">
        <v>1.2118599548353599</v>
      </c>
      <c r="K63">
        <v>273.889393118876</v>
      </c>
      <c r="L63">
        <v>188.565212805307</v>
      </c>
      <c r="M63">
        <v>1.21398026315789</v>
      </c>
      <c r="N63">
        <v>286.675603392575</v>
      </c>
      <c r="O63">
        <v>245.43794755505499</v>
      </c>
      <c r="P63">
        <f t="shared" si="25"/>
        <v>6.5633938190651318</v>
      </c>
      <c r="Q63">
        <f t="shared" si="26"/>
        <v>4.8755264246139589</v>
      </c>
      <c r="R63" s="23">
        <f t="shared" si="27"/>
        <v>76.319726059623633</v>
      </c>
      <c r="S63" s="23">
        <f t="shared" si="28"/>
        <v>78.682359635968893</v>
      </c>
      <c r="T63">
        <f t="shared" si="29"/>
        <v>89.086151114426301</v>
      </c>
    </row>
    <row r="64" spans="1:20">
      <c r="A64" s="25">
        <v>1.0000000000000001E-5</v>
      </c>
      <c r="B64">
        <v>3.9165299419753001</v>
      </c>
      <c r="C64">
        <v>8.1704979852294404</v>
      </c>
      <c r="D64">
        <v>64.845060849640006</v>
      </c>
      <c r="E64"/>
      <c r="F64">
        <v>79.232749999999996</v>
      </c>
      <c r="G64">
        <v>83.232829999999893</v>
      </c>
      <c r="H64">
        <v>80.122069936630993</v>
      </c>
      <c r="I64">
        <v>83.5492267269113</v>
      </c>
      <c r="J64">
        <v>1.1592700348632199</v>
      </c>
      <c r="K64">
        <v>272.97739640862397</v>
      </c>
      <c r="L64">
        <v>194.05471041225499</v>
      </c>
      <c r="M64">
        <v>1.15994827432444</v>
      </c>
      <c r="N64">
        <v>282.65465612542499</v>
      </c>
      <c r="O64">
        <v>254.98410987041899</v>
      </c>
      <c r="P64">
        <f t="shared" si="25"/>
        <v>4.5429721475342486</v>
      </c>
      <c r="Q64">
        <f t="shared" si="26"/>
        <v>7.0438468387635487</v>
      </c>
      <c r="R64" s="23">
        <f t="shared" si="27"/>
        <v>74.714531173362531</v>
      </c>
      <c r="S64" s="23">
        <f t="shared" si="28"/>
        <v>77.098977639803721</v>
      </c>
      <c r="T64">
        <f t="shared" si="29"/>
        <v>123.23741578247953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43</v>
      </c>
    </row>
    <row r="70" spans="1:21">
      <c r="A70" s="2"/>
      <c r="B70" s="1" t="s">
        <v>53</v>
      </c>
      <c r="C70" s="1" t="s">
        <v>54</v>
      </c>
      <c r="D70" s="1" t="s">
        <v>55</v>
      </c>
      <c r="E70" s="1" t="s">
        <v>56</v>
      </c>
      <c r="F70" s="19" t="s">
        <v>57</v>
      </c>
      <c r="G70" s="19" t="s">
        <v>58</v>
      </c>
      <c r="H70" s="22" t="s">
        <v>59</v>
      </c>
      <c r="I70" s="22" t="s">
        <v>60</v>
      </c>
      <c r="J70" s="19" t="s">
        <v>41</v>
      </c>
      <c r="K70" s="19" t="s">
        <v>42</v>
      </c>
      <c r="L70" s="1" t="s">
        <v>61</v>
      </c>
      <c r="M70" s="1" t="s">
        <v>62</v>
      </c>
    </row>
    <row r="71" spans="1:21">
      <c r="A71" s="2"/>
      <c r="B71" s="1">
        <v>1.20288952171694</v>
      </c>
      <c r="C71" s="1">
        <v>44.775975147042999</v>
      </c>
      <c r="D71" s="1">
        <v>3.1211181312269098</v>
      </c>
      <c r="E71" s="3">
        <v>44.775975450946</v>
      </c>
      <c r="F71" s="1">
        <v>10.644285232405499</v>
      </c>
      <c r="G71" s="1">
        <v>73.041226396686199</v>
      </c>
      <c r="H71" s="24">
        <v>0.5</v>
      </c>
      <c r="I71" s="24">
        <v>52.3281061261101</v>
      </c>
      <c r="J71" s="1">
        <v>2.6413494185916599</v>
      </c>
      <c r="K71" s="1">
        <v>44.775975135301103</v>
      </c>
      <c r="L71" s="1">
        <v>1.0917027944307001</v>
      </c>
      <c r="M71" s="1">
        <v>55.418630785966201</v>
      </c>
    </row>
    <row r="72" spans="1:21">
      <c r="A72" s="2"/>
      <c r="B72" s="1">
        <v>1.3514368793545199</v>
      </c>
      <c r="C72" s="1">
        <v>50.7899262300621</v>
      </c>
      <c r="D72" s="1">
        <v>3.8884129982444602</v>
      </c>
      <c r="E72" s="3">
        <v>50.789926538550702</v>
      </c>
      <c r="F72" s="1">
        <v>11.4399478170126</v>
      </c>
      <c r="G72" s="1">
        <v>79.022005218861494</v>
      </c>
      <c r="H72" s="24">
        <v>1</v>
      </c>
      <c r="I72" s="24">
        <v>61.682782363282101</v>
      </c>
      <c r="J72" s="1">
        <v>2.8429701321958398</v>
      </c>
      <c r="K72" s="1">
        <v>50.789926217720698</v>
      </c>
      <c r="L72" s="1">
        <v>1.1093174256138001</v>
      </c>
      <c r="M72" s="1">
        <v>58.981531187043203</v>
      </c>
      <c r="U72" t="s">
        <v>25</v>
      </c>
    </row>
    <row r="73" spans="1:21">
      <c r="A73" s="2"/>
      <c r="B73" s="1">
        <v>1.8110721232312601</v>
      </c>
      <c r="C73" s="1">
        <v>64.771407444905506</v>
      </c>
      <c r="D73" s="1">
        <v>5.9542616684840404</v>
      </c>
      <c r="E73" s="3">
        <v>64.771407092497796</v>
      </c>
      <c r="F73" s="1">
        <v>13.0114151678642</v>
      </c>
      <c r="G73" s="1">
        <v>91.0318977461028</v>
      </c>
      <c r="H73" s="24">
        <v>2</v>
      </c>
      <c r="I73" s="24">
        <v>71.004374710709598</v>
      </c>
      <c r="J73" s="1">
        <v>3.2340550283670102</v>
      </c>
      <c r="K73" s="1">
        <v>64.771407583985095</v>
      </c>
      <c r="L73" s="1">
        <v>1.2676696560379299</v>
      </c>
      <c r="M73" s="1">
        <v>69.351842925048899</v>
      </c>
    </row>
    <row r="74" spans="1:21">
      <c r="A74" s="2"/>
      <c r="B74" s="1">
        <v>2.00604699615395</v>
      </c>
      <c r="C74" s="1">
        <v>70.791983666556206</v>
      </c>
      <c r="D74" s="1">
        <v>6.9168827838951001</v>
      </c>
      <c r="E74" s="3">
        <v>70.791983313378296</v>
      </c>
      <c r="F74" s="1">
        <v>14.1775992144733</v>
      </c>
      <c r="G74" s="1">
        <v>97.0477987850213</v>
      </c>
      <c r="H74" s="24">
        <v>4</v>
      </c>
      <c r="I74" s="24">
        <v>83.698482460038406</v>
      </c>
      <c r="J74" s="1">
        <v>3.53013125668011</v>
      </c>
      <c r="K74" s="1">
        <v>70.791983804890094</v>
      </c>
      <c r="L74" s="1">
        <v>1.43641528768171</v>
      </c>
      <c r="M74" s="1">
        <v>73.823457267049506</v>
      </c>
    </row>
    <row r="75" spans="1:21">
      <c r="A75" s="2"/>
      <c r="B75" s="1">
        <v>2.9955266890527001</v>
      </c>
      <c r="C75" s="1">
        <v>84.771182316618805</v>
      </c>
      <c r="D75" s="1">
        <v>9.21013949245555</v>
      </c>
      <c r="E75" s="3">
        <v>84.771182612645205</v>
      </c>
      <c r="H75" s="24">
        <v>6.0000000000000036</v>
      </c>
      <c r="I75" s="24">
        <v>95.500248718413005</v>
      </c>
      <c r="J75" s="1">
        <v>5.0200176242959804</v>
      </c>
      <c r="K75" s="1">
        <v>84.771182431216701</v>
      </c>
      <c r="L75" s="1">
        <v>2.3989887043170999</v>
      </c>
      <c r="M75" s="1">
        <v>85.750886954293506</v>
      </c>
    </row>
    <row r="76" spans="1:21">
      <c r="A76" s="2"/>
      <c r="B76" s="1">
        <v>3.7235113838901799</v>
      </c>
      <c r="C76" s="1">
        <v>90.791718518954298</v>
      </c>
      <c r="D76" s="1">
        <v>10.206109694732801</v>
      </c>
      <c r="E76" s="3">
        <v>90.791718802428903</v>
      </c>
      <c r="H76" s="24">
        <v>8</v>
      </c>
      <c r="I76" s="24">
        <v>107.435836865098</v>
      </c>
      <c r="J76" s="1">
        <v>5.9187928519861002</v>
      </c>
      <c r="K76" s="1">
        <v>90.791718636616807</v>
      </c>
      <c r="L76" s="1">
        <v>3.1367711755155598</v>
      </c>
      <c r="M76" s="1">
        <v>91.190255053164904</v>
      </c>
    </row>
    <row r="77" spans="1:21">
      <c r="A77" s="2"/>
      <c r="B77" s="1">
        <v>5.8648941505744503</v>
      </c>
      <c r="C77" s="1">
        <v>104.77108080354201</v>
      </c>
      <c r="D77" s="1">
        <v>12.523252674551401</v>
      </c>
      <c r="E77" s="3">
        <v>104.771081075726</v>
      </c>
      <c r="H77" s="24">
        <v>12.00000000000003</v>
      </c>
      <c r="I77" s="24">
        <v>131.50725207909699</v>
      </c>
      <c r="J77" s="1">
        <v>7.1866754251055003</v>
      </c>
      <c r="K77" s="1">
        <v>98.750662105097604</v>
      </c>
      <c r="L77" s="1">
        <v>5.3564328820364304</v>
      </c>
      <c r="M77" s="1">
        <v>104.78397050438601</v>
      </c>
    </row>
    <row r="78" spans="1:21">
      <c r="A78" s="2"/>
      <c r="H78" s="24">
        <v>16</v>
      </c>
      <c r="I78" s="24">
        <v>155.563975409687</v>
      </c>
    </row>
    <row r="79" spans="1:21">
      <c r="A79" s="2"/>
      <c r="E79" s="2"/>
    </row>
    <row r="80" spans="1:21">
      <c r="A80" s="2"/>
      <c r="B80" s="1" t="s">
        <v>40</v>
      </c>
    </row>
    <row r="81" spans="1:13">
      <c r="A81" s="2"/>
      <c r="B81" s="1" t="s">
        <v>53</v>
      </c>
      <c r="C81" s="1" t="s">
        <v>54</v>
      </c>
      <c r="D81" s="1" t="s">
        <v>55</v>
      </c>
      <c r="E81" s="1" t="s">
        <v>56</v>
      </c>
      <c r="F81" s="19" t="s">
        <v>57</v>
      </c>
      <c r="G81" s="19" t="s">
        <v>58</v>
      </c>
      <c r="H81" s="22" t="s">
        <v>59</v>
      </c>
      <c r="I81" s="22" t="s">
        <v>60</v>
      </c>
      <c r="J81" s="19" t="s">
        <v>41</v>
      </c>
      <c r="K81" s="19" t="s">
        <v>42</v>
      </c>
      <c r="L81" s="1" t="s">
        <v>61</v>
      </c>
      <c r="M81" s="1" t="s">
        <v>62</v>
      </c>
    </row>
    <row r="82" spans="1:13">
      <c r="A82" s="2"/>
      <c r="B82" s="1">
        <v>1.1521146346615776</v>
      </c>
      <c r="C82" s="1">
        <v>44.775975147042999</v>
      </c>
      <c r="D82" s="1">
        <v>1.6107757109238408</v>
      </c>
      <c r="E82" s="3">
        <v>44.775975450946</v>
      </c>
      <c r="F82" s="1">
        <v>10.46657051099478</v>
      </c>
      <c r="G82" s="1">
        <v>73.041226396686199</v>
      </c>
      <c r="H82" s="24">
        <v>0.49603960396039987</v>
      </c>
      <c r="I82" s="24">
        <v>52.3281061261101</v>
      </c>
      <c r="J82" s="1">
        <v>1.7741652436839388</v>
      </c>
      <c r="K82" s="1">
        <v>44.775975135301103</v>
      </c>
      <c r="L82" s="1">
        <v>0.24325948459472158</v>
      </c>
      <c r="M82" s="1">
        <v>55.418630785966201</v>
      </c>
    </row>
    <row r="83" spans="1:13">
      <c r="A83" s="2"/>
      <c r="B83" s="1">
        <v>1.3460846540897538</v>
      </c>
      <c r="C83" s="1">
        <v>50.7899262300621</v>
      </c>
      <c r="D83" s="1">
        <v>2.4868415722436032</v>
      </c>
      <c r="E83" s="3">
        <v>50.789926538550702</v>
      </c>
      <c r="F83" s="1">
        <v>11.271158060830791</v>
      </c>
      <c r="G83" s="1">
        <v>79.022005218861494</v>
      </c>
      <c r="H83" s="24">
        <v>1</v>
      </c>
      <c r="I83" s="24">
        <v>61.682782363282101</v>
      </c>
      <c r="J83" s="1">
        <v>2.20006118180889</v>
      </c>
      <c r="K83" s="1">
        <v>50.789926217720698</v>
      </c>
      <c r="L83" s="1">
        <v>0.36360175833629732</v>
      </c>
      <c r="M83" s="1">
        <v>58.981531187043203</v>
      </c>
    </row>
    <row r="84" spans="1:13">
      <c r="A84" s="2"/>
      <c r="B84" s="1">
        <v>1.8110721232312601</v>
      </c>
      <c r="C84" s="1">
        <v>64.771407444905506</v>
      </c>
      <c r="D84" s="1">
        <v>5.3554535283856159</v>
      </c>
      <c r="E84" s="3">
        <v>64.771407092497796</v>
      </c>
      <c r="F84" s="1">
        <v>12.882589275113197</v>
      </c>
      <c r="G84" s="1">
        <v>91.0318977461028</v>
      </c>
      <c r="H84" s="24">
        <v>2</v>
      </c>
      <c r="I84" s="24">
        <v>71.004374710709598</v>
      </c>
      <c r="J84" s="1">
        <v>2.7879784727301815</v>
      </c>
      <c r="K84" s="1">
        <v>64.771407583985095</v>
      </c>
      <c r="L84" s="1">
        <v>0.91858781338674733</v>
      </c>
      <c r="M84" s="1">
        <v>69.351842925048899</v>
      </c>
    </row>
    <row r="85" spans="1:13">
      <c r="A85" s="2"/>
      <c r="B85" s="1">
        <v>2.00604699615395</v>
      </c>
      <c r="C85" s="1">
        <v>70.791983666556206</v>
      </c>
      <c r="D85" s="1">
        <v>6.5391815757917078</v>
      </c>
      <c r="E85" s="3">
        <v>70.791983313378296</v>
      </c>
      <c r="F85" s="1">
        <v>14.163561987528313</v>
      </c>
      <c r="G85" s="1">
        <v>97.0477987850213</v>
      </c>
      <c r="H85" s="24">
        <v>4</v>
      </c>
      <c r="I85" s="24">
        <v>83.698482460038406</v>
      </c>
      <c r="J85" s="1">
        <v>3.0198954129619486</v>
      </c>
      <c r="K85" s="1">
        <v>70.791983804890094</v>
      </c>
      <c r="L85" s="1">
        <v>1.2747421240428445</v>
      </c>
      <c r="M85" s="1">
        <v>73.823457267049506</v>
      </c>
    </row>
    <row r="86" spans="1:13">
      <c r="A86" s="2"/>
      <c r="B86" s="1">
        <v>2.9955266890527001</v>
      </c>
      <c r="C86" s="1">
        <v>84.771182316618805</v>
      </c>
      <c r="D86" s="1">
        <v>8.8820247929084459</v>
      </c>
      <c r="E86" s="3">
        <v>84.771182612645205</v>
      </c>
      <c r="H86" s="24">
        <v>6.0000000000000036</v>
      </c>
      <c r="I86" s="24">
        <v>95.500248718413005</v>
      </c>
      <c r="J86" s="1">
        <v>4.1013871833845821</v>
      </c>
      <c r="K86" s="1">
        <v>84.771182431216701</v>
      </c>
      <c r="L86" s="1">
        <v>2.3989887043170999</v>
      </c>
      <c r="M86" s="1">
        <v>85.750886954293506</v>
      </c>
    </row>
    <row r="87" spans="1:13">
      <c r="A87" s="2"/>
      <c r="B87" s="1">
        <v>3.7235113838901799</v>
      </c>
      <c r="C87" s="1">
        <v>90.791718518954298</v>
      </c>
      <c r="D87" s="1">
        <v>9.8619422869895672</v>
      </c>
      <c r="E87" s="3">
        <v>90.791718802428903</v>
      </c>
      <c r="H87" s="24">
        <v>8</v>
      </c>
      <c r="I87" s="24">
        <v>107.435836865098</v>
      </c>
      <c r="J87" s="1">
        <v>4.8755264246139589</v>
      </c>
      <c r="K87" s="1">
        <v>90.791718636616807</v>
      </c>
      <c r="L87" s="1">
        <v>3.1367711755155598</v>
      </c>
      <c r="M87" s="1">
        <v>91.190255053164904</v>
      </c>
    </row>
    <row r="88" spans="1:13">
      <c r="A88" s="2"/>
      <c r="B88" s="1">
        <v>5.8648941505744503</v>
      </c>
      <c r="C88" s="1">
        <v>104.77108080354201</v>
      </c>
      <c r="D88" s="1">
        <v>12.182796399158587</v>
      </c>
      <c r="E88" s="3">
        <v>104.771081075726</v>
      </c>
      <c r="H88" s="24">
        <v>12.00000000000003</v>
      </c>
      <c r="I88" s="24">
        <v>131.50725207909699</v>
      </c>
      <c r="J88" s="1">
        <v>6.0803419052346364</v>
      </c>
      <c r="K88" s="1">
        <v>98.750662105097604</v>
      </c>
      <c r="L88" s="1">
        <v>5.3564328820364304</v>
      </c>
      <c r="M88" s="1">
        <v>104.78397050438601</v>
      </c>
    </row>
    <row r="89" spans="1:13">
      <c r="A89" s="2"/>
      <c r="H89" s="24">
        <v>16</v>
      </c>
      <c r="I89" s="24">
        <v>155.563975409687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3:S9">
    <sortCondition descending="1" ref="A3:A9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6A02-80C0-4295-8FAC-3705C73ACF75}">
  <dimension ref="A1:Z113"/>
  <sheetViews>
    <sheetView topLeftCell="A45" workbookViewId="0">
      <selection activeCell="H63" sqref="H63"/>
    </sheetView>
  </sheetViews>
  <sheetFormatPr defaultColWidth="8.7109375" defaultRowHeight="15"/>
  <cols>
    <col min="1" max="7" width="8.7109375" style="1"/>
    <col min="8" max="8" width="10.42578125" style="24" customWidth="1"/>
    <col min="9" max="9" width="8.7109375" style="24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23" customWidth="1"/>
    <col min="19" max="19" width="16.42578125" style="23" customWidth="1"/>
    <col min="20" max="20" width="16.42578125" customWidth="1"/>
  </cols>
  <sheetData>
    <row r="1" spans="1:26">
      <c r="A1" s="1" t="s">
        <v>48</v>
      </c>
      <c r="Y1" t="s">
        <v>44</v>
      </c>
      <c r="Z1" t="s">
        <v>45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4" t="s">
        <v>7</v>
      </c>
      <c r="I2" s="24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21</v>
      </c>
      <c r="Q2" s="1" t="s">
        <v>22</v>
      </c>
      <c r="R2" s="24" t="s">
        <v>23</v>
      </c>
      <c r="S2" s="24" t="s">
        <v>24</v>
      </c>
      <c r="T2" s="1" t="s">
        <v>46</v>
      </c>
      <c r="Y2">
        <f>37*449*449*235*4*100/(1024*1024*1024)</f>
        <v>653.01384590566158</v>
      </c>
      <c r="Z2">
        <v>1</v>
      </c>
    </row>
    <row r="3" spans="1:26">
      <c r="A3" s="25">
        <v>0.01</v>
      </c>
      <c r="B3">
        <v>28.945407734661998</v>
      </c>
      <c r="C3">
        <v>1.1055294260609101</v>
      </c>
      <c r="D3">
        <v>50.923478607050697</v>
      </c>
      <c r="E3"/>
      <c r="F3">
        <v>54.363783783783703</v>
      </c>
      <c r="G3">
        <v>54.363783783783703</v>
      </c>
      <c r="H3">
        <v>56.012150198921297</v>
      </c>
      <c r="I3">
        <v>55.193537923106199</v>
      </c>
      <c r="J3">
        <v>2.9400196836078099</v>
      </c>
      <c r="K3">
        <v>153.858264828431</v>
      </c>
      <c r="L3">
        <v>56.254431071611698</v>
      </c>
      <c r="M3">
        <v>2.9450986639571202</v>
      </c>
      <c r="N3">
        <v>262.98959973210498</v>
      </c>
      <c r="O3">
        <v>173.366252703801</v>
      </c>
      <c r="P3">
        <f t="shared" ref="P3:P9" si="0">B3*M3</f>
        <v>85.247081647047139</v>
      </c>
      <c r="Q3">
        <f t="shared" ref="Q3:Q9" si="1">C3/M3</f>
        <v>0.37537941923327234</v>
      </c>
      <c r="R3" s="23">
        <f t="shared" ref="R3:R9" si="2">1/(1/H3+1/(N3*B3))</f>
        <v>55.603019212255248</v>
      </c>
      <c r="S3" s="23">
        <f t="shared" ref="S3:S9" si="3">1/(1/I3+1/(O3*B3))</f>
        <v>54.593081344639664</v>
      </c>
      <c r="T3">
        <f>$Y$2/R3+$Y$2/S3+$Y$2/($Z$2*P3)</f>
        <v>31.365940549158463</v>
      </c>
    </row>
    <row r="4" spans="1:26">
      <c r="A4" s="25">
        <v>5.0000000000000001E-3</v>
      </c>
      <c r="B4">
        <v>27.896928205623599</v>
      </c>
      <c r="C4">
        <v>1.1470796986726699</v>
      </c>
      <c r="D4">
        <v>56.307149116851498</v>
      </c>
      <c r="E4"/>
      <c r="F4">
        <v>53.257027027027</v>
      </c>
      <c r="G4">
        <v>53.257027027027</v>
      </c>
      <c r="H4">
        <v>55.958622890088897</v>
      </c>
      <c r="I4">
        <v>54.062738652517901</v>
      </c>
      <c r="J4">
        <v>2.5713690778889502</v>
      </c>
      <c r="K4">
        <v>157.12546879140001</v>
      </c>
      <c r="L4">
        <v>58.114764657147397</v>
      </c>
      <c r="M4">
        <v>2.5764489343513701</v>
      </c>
      <c r="N4">
        <v>257.29734939969001</v>
      </c>
      <c r="O4">
        <v>174.800216302119</v>
      </c>
      <c r="P4">
        <f t="shared" si="0"/>
        <v>71.8750109470556</v>
      </c>
      <c r="Q4">
        <f t="shared" si="1"/>
        <v>0.44521732349469256</v>
      </c>
      <c r="R4" s="23">
        <f t="shared" si="2"/>
        <v>55.525740735924394</v>
      </c>
      <c r="S4" s="23">
        <f t="shared" si="3"/>
        <v>53.469937056347547</v>
      </c>
      <c r="T4">
        <f t="shared" ref="T4:T9" si="4">$Y$2/R4+$Y$2/S4+$Y$2/($Z$2*P4)</f>
        <v>33.058698280759238</v>
      </c>
    </row>
    <row r="5" spans="1:26">
      <c r="A5" s="25">
        <v>1E-3</v>
      </c>
      <c r="B5">
        <v>24.880659672478298</v>
      </c>
      <c r="C5">
        <v>1.28613953252198</v>
      </c>
      <c r="D5">
        <v>69.053872386058302</v>
      </c>
      <c r="E5"/>
      <c r="F5">
        <v>48.745675675675599</v>
      </c>
      <c r="G5">
        <v>48.745675675675599</v>
      </c>
      <c r="H5">
        <v>55.816012300320601</v>
      </c>
      <c r="I5">
        <v>49.431814333578501</v>
      </c>
      <c r="J5">
        <v>2.0321812749558599</v>
      </c>
      <c r="K5">
        <v>165.683334934984</v>
      </c>
      <c r="L5">
        <v>65.402447989046294</v>
      </c>
      <c r="M5">
        <v>2.0369234206984301</v>
      </c>
      <c r="N5">
        <v>251.719896019342</v>
      </c>
      <c r="O5">
        <v>185.09647989828201</v>
      </c>
      <c r="P5">
        <f t="shared" si="0"/>
        <v>50.67999840929798</v>
      </c>
      <c r="Q5">
        <f t="shared" si="1"/>
        <v>0.6314128059271773</v>
      </c>
      <c r="R5" s="23">
        <f t="shared" si="2"/>
        <v>55.322969237897368</v>
      </c>
      <c r="S5" s="23">
        <f t="shared" si="3"/>
        <v>48.906866271604173</v>
      </c>
      <c r="T5">
        <f t="shared" si="4"/>
        <v>38.040898217653549</v>
      </c>
    </row>
    <row r="6" spans="1:26">
      <c r="A6" s="25">
        <v>5.0000000000000001E-4</v>
      </c>
      <c r="B6">
        <v>23.116195923339799</v>
      </c>
      <c r="C6">
        <v>1.38431081420669</v>
      </c>
      <c r="D6">
        <v>74.5914437599221</v>
      </c>
      <c r="E6"/>
      <c r="F6">
        <v>46.990540540540501</v>
      </c>
      <c r="G6">
        <v>46.990540540540501</v>
      </c>
      <c r="H6">
        <v>55.648209131885203</v>
      </c>
      <c r="I6">
        <v>47.620368673477202</v>
      </c>
      <c r="J6">
        <v>1.8543547034851799</v>
      </c>
      <c r="K6">
        <v>170.52324257345501</v>
      </c>
      <c r="L6">
        <v>69.159082325130399</v>
      </c>
      <c r="M6">
        <v>1.85432815669113</v>
      </c>
      <c r="N6">
        <v>253.086809891033</v>
      </c>
      <c r="O6">
        <v>188.78545024834699</v>
      </c>
      <c r="P6">
        <f t="shared" si="0"/>
        <v>42.865012976237701</v>
      </c>
      <c r="Q6">
        <f t="shared" si="1"/>
        <v>0.74652957687751409</v>
      </c>
      <c r="R6" s="23">
        <f t="shared" si="2"/>
        <v>55.123878678730058</v>
      </c>
      <c r="S6" s="23">
        <f t="shared" si="3"/>
        <v>47.106340136349459</v>
      </c>
      <c r="T6">
        <f t="shared" si="4"/>
        <v>40.943036147373974</v>
      </c>
    </row>
    <row r="7" spans="1:26">
      <c r="A7" s="25">
        <v>1E-4</v>
      </c>
      <c r="B7">
        <v>17.779073176547399</v>
      </c>
      <c r="C7">
        <v>1.7998688504309399</v>
      </c>
      <c r="D7">
        <v>87.522483092206201</v>
      </c>
      <c r="E7"/>
      <c r="F7">
        <v>42.533783783783697</v>
      </c>
      <c r="G7">
        <v>42.533783783783697</v>
      </c>
      <c r="H7">
        <v>54.991001376644</v>
      </c>
      <c r="I7">
        <v>43.048833673381402</v>
      </c>
      <c r="J7">
        <v>1.50578436676526</v>
      </c>
      <c r="K7">
        <v>184.40713299507399</v>
      </c>
      <c r="L7">
        <v>85.400650289126204</v>
      </c>
      <c r="M7">
        <v>1.5084688929363701</v>
      </c>
      <c r="N7">
        <v>247.25915639544999</v>
      </c>
      <c r="O7">
        <v>197.72828029067199</v>
      </c>
      <c r="P7">
        <f t="shared" si="0"/>
        <v>26.819178832061169</v>
      </c>
      <c r="Q7">
        <f t="shared" si="1"/>
        <v>1.1931759805317124</v>
      </c>
      <c r="R7" s="23">
        <f t="shared" si="2"/>
        <v>54.311605713311117</v>
      </c>
      <c r="S7" s="23">
        <f t="shared" si="3"/>
        <v>42.528048113799393</v>
      </c>
      <c r="T7">
        <f t="shared" si="4"/>
        <v>51.727129602056785</v>
      </c>
    </row>
    <row r="8" spans="1:26">
      <c r="A8" s="25">
        <v>5.0000000000000002E-5</v>
      </c>
      <c r="B8">
        <v>15.499695337215901</v>
      </c>
      <c r="C8">
        <v>2.0645567092641799</v>
      </c>
      <c r="D8">
        <v>93.223318293513302</v>
      </c>
      <c r="E8"/>
      <c r="F8">
        <v>41.3294594594594</v>
      </c>
      <c r="G8">
        <v>41.3294594594594</v>
      </c>
      <c r="H8">
        <v>54.5372450172855</v>
      </c>
      <c r="I8">
        <v>41.821775178536399</v>
      </c>
      <c r="J8">
        <v>1.4213957952192999</v>
      </c>
      <c r="K8">
        <v>192.17966334164501</v>
      </c>
      <c r="L8">
        <v>94.544686225382193</v>
      </c>
      <c r="M8">
        <v>1.42133145016199</v>
      </c>
      <c r="N8">
        <v>243.05714546560199</v>
      </c>
      <c r="O8">
        <v>204.95930442687501</v>
      </c>
      <c r="P8">
        <f t="shared" si="0"/>
        <v>22.030204450714113</v>
      </c>
      <c r="Q8">
        <f t="shared" si="1"/>
        <v>1.452551204033993</v>
      </c>
      <c r="R8" s="23">
        <f t="shared" si="2"/>
        <v>53.759006229317308</v>
      </c>
      <c r="S8" s="23">
        <f t="shared" si="3"/>
        <v>41.278357119652711</v>
      </c>
      <c r="T8">
        <f t="shared" si="4"/>
        <v>57.608574443506832</v>
      </c>
    </row>
    <row r="9" spans="1:26">
      <c r="A9" s="25">
        <v>1.0000000000000001E-5</v>
      </c>
      <c r="B9">
        <v>10.907844696039501</v>
      </c>
      <c r="C9">
        <v>2.9336684644601498</v>
      </c>
      <c r="D9">
        <v>107.042773676029</v>
      </c>
      <c r="E9"/>
      <c r="F9">
        <v>39.539189189189102</v>
      </c>
      <c r="G9">
        <v>39.539189189189102</v>
      </c>
      <c r="H9">
        <v>53.333712942154001</v>
      </c>
      <c r="I9">
        <v>40.053889804058898</v>
      </c>
      <c r="J9">
        <v>1.34076602161237</v>
      </c>
      <c r="K9">
        <v>197.82261775644699</v>
      </c>
      <c r="L9">
        <v>112.796084225803</v>
      </c>
      <c r="M9">
        <v>1.3406805427914099</v>
      </c>
      <c r="N9">
        <v>231.30357016873501</v>
      </c>
      <c r="O9">
        <v>222.72822346587699</v>
      </c>
      <c r="P9">
        <f t="shared" si="0"/>
        <v>14.62393514777064</v>
      </c>
      <c r="Q9">
        <f t="shared" si="1"/>
        <v>2.1881935112983775</v>
      </c>
      <c r="R9" s="23">
        <f t="shared" si="2"/>
        <v>52.229640490909844</v>
      </c>
      <c r="S9" s="23">
        <f t="shared" si="3"/>
        <v>39.404248618463789</v>
      </c>
      <c r="T9">
        <f t="shared" si="4"/>
        <v>73.728683505633342</v>
      </c>
    </row>
    <row r="10" spans="1:26">
      <c r="A10" s="2"/>
    </row>
    <row r="11" spans="1:26">
      <c r="A11" s="2" t="s">
        <v>49</v>
      </c>
    </row>
    <row r="12" spans="1:26" ht="13.5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24" t="s">
        <v>7</v>
      </c>
      <c r="I12" s="24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21</v>
      </c>
      <c r="Q12" s="1" t="s">
        <v>22</v>
      </c>
      <c r="R12" s="24" t="s">
        <v>23</v>
      </c>
      <c r="S12" s="24" t="s">
        <v>24</v>
      </c>
      <c r="T12" s="1" t="s">
        <v>46</v>
      </c>
    </row>
    <row r="13" spans="1:26">
      <c r="A13" s="25">
        <v>0.01</v>
      </c>
      <c r="B13">
        <v>28.9966708627271</v>
      </c>
      <c r="C13">
        <v>1.1035749638808801</v>
      </c>
      <c r="D13">
        <v>60.145688416479501</v>
      </c>
      <c r="E13"/>
      <c r="F13">
        <v>52.2221621621621</v>
      </c>
      <c r="G13">
        <v>52.2221621621621</v>
      </c>
      <c r="H13">
        <v>40.8916192322177</v>
      </c>
      <c r="I13">
        <v>47.975495946178</v>
      </c>
      <c r="J13">
        <v>8.3406362491845094</v>
      </c>
      <c r="K13">
        <v>156.90345273906601</v>
      </c>
      <c r="L13">
        <v>48.208968414282602</v>
      </c>
      <c r="M13">
        <v>8.3745636069417895</v>
      </c>
      <c r="N13">
        <v>275.66786026834598</v>
      </c>
      <c r="O13">
        <v>175.30436071755199</v>
      </c>
      <c r="P13">
        <f t="shared" ref="P13:P19" si="5">B13*M13</f>
        <v>242.83446452946376</v>
      </c>
      <c r="Q13">
        <f t="shared" ref="Q13:Q19" si="6">C13/M13</f>
        <v>0.13177701139747888</v>
      </c>
      <c r="R13" s="23">
        <f t="shared" ref="R13:R19" si="7">1/(1/H13+1/(N13*B13))</f>
        <v>40.683497078762784</v>
      </c>
      <c r="S13" s="23">
        <f t="shared" ref="S13:S19" si="8">1/(1/I13+1/(O13*B13))</f>
        <v>47.526938107324668</v>
      </c>
      <c r="T13">
        <f>$Y$2/R13+$Y$2/S13+$Y$2/($Z$2*P13)</f>
        <v>32.48007402642903</v>
      </c>
    </row>
    <row r="14" spans="1:26">
      <c r="A14" s="25">
        <v>5.0000000000000001E-3</v>
      </c>
      <c r="B14">
        <v>28.814131689965301</v>
      </c>
      <c r="C14">
        <v>1.1105661744144799</v>
      </c>
      <c r="D14">
        <v>63.994462500061204</v>
      </c>
      <c r="E14"/>
      <c r="F14">
        <v>51.857297297297301</v>
      </c>
      <c r="G14">
        <v>51.857297297297301</v>
      </c>
      <c r="H14">
        <v>40.880399157637903</v>
      </c>
      <c r="I14">
        <v>47.654387867896098</v>
      </c>
      <c r="J14">
        <v>6.6060715820189904</v>
      </c>
      <c r="K14">
        <v>155.57282547482799</v>
      </c>
      <c r="L14">
        <v>48.447733563951999</v>
      </c>
      <c r="M14">
        <v>6.6266245490870501</v>
      </c>
      <c r="N14">
        <v>272.72560387961198</v>
      </c>
      <c r="O14">
        <v>173.18534446437999</v>
      </c>
      <c r="P14">
        <f t="shared" si="5"/>
        <v>190.94043241735119</v>
      </c>
      <c r="Q14">
        <f t="shared" si="6"/>
        <v>0.16759153414953659</v>
      </c>
      <c r="R14" s="23">
        <f t="shared" si="7"/>
        <v>40.668833392264752</v>
      </c>
      <c r="S14" s="23">
        <f t="shared" si="8"/>
        <v>47.203611183092164</v>
      </c>
      <c r="T14">
        <f t="shared" ref="T14:T19" si="9">$Y$2/R14+$Y$2/S14+$Y$2/($Z$2*P14)</f>
        <v>33.310829964824926</v>
      </c>
    </row>
    <row r="15" spans="1:26">
      <c r="A15" s="25">
        <v>1E-3</v>
      </c>
      <c r="B15">
        <v>27.592707061628001</v>
      </c>
      <c r="C15">
        <v>1.1597267324488401</v>
      </c>
      <c r="D15">
        <v>74.309788457960295</v>
      </c>
      <c r="E15"/>
      <c r="F15">
        <v>49.335945945945902</v>
      </c>
      <c r="G15">
        <v>49.335945945945902</v>
      </c>
      <c r="H15">
        <v>40.873332471224202</v>
      </c>
      <c r="I15">
        <v>45.520115972088703</v>
      </c>
      <c r="J15">
        <v>3.5530624543176899</v>
      </c>
      <c r="K15">
        <v>157.21795705682101</v>
      </c>
      <c r="L15">
        <v>50.243235436323197</v>
      </c>
      <c r="M15">
        <v>3.56047516087594</v>
      </c>
      <c r="N15">
        <v>269.590588689436</v>
      </c>
      <c r="O15">
        <v>169.553821167862</v>
      </c>
      <c r="P15">
        <f t="shared" si="5"/>
        <v>98.243148114252648</v>
      </c>
      <c r="Q15">
        <f t="shared" si="6"/>
        <v>0.32572246120192755</v>
      </c>
      <c r="R15" s="23">
        <f t="shared" si="7"/>
        <v>40.649974586015709</v>
      </c>
      <c r="S15" s="23">
        <f t="shared" si="8"/>
        <v>45.081484612966804</v>
      </c>
      <c r="T15">
        <f t="shared" si="9"/>
        <v>37.196415667821739</v>
      </c>
    </row>
    <row r="16" spans="1:26">
      <c r="A16" s="25">
        <v>5.0000000000000001E-4</v>
      </c>
      <c r="B16">
        <v>26.484844770028499</v>
      </c>
      <c r="C16">
        <v>1.2082381557400099</v>
      </c>
      <c r="D16">
        <v>78.622689771481902</v>
      </c>
      <c r="E16"/>
      <c r="F16">
        <v>47.995135135135101</v>
      </c>
      <c r="G16">
        <v>47.995135135135101</v>
      </c>
      <c r="H16">
        <v>40.848503427633098</v>
      </c>
      <c r="I16">
        <v>44.364220923374603</v>
      </c>
      <c r="J16">
        <v>2.8867738420686702</v>
      </c>
      <c r="K16">
        <v>160.856882477477</v>
      </c>
      <c r="L16">
        <v>52.245670069514901</v>
      </c>
      <c r="M16">
        <v>2.8879645440541202</v>
      </c>
      <c r="N16">
        <v>266.24913036138798</v>
      </c>
      <c r="O16">
        <v>171.603832819801</v>
      </c>
      <c r="P16">
        <f t="shared" si="5"/>
        <v>76.487292650619509</v>
      </c>
      <c r="Q16">
        <f t="shared" si="6"/>
        <v>0.41837014870130196</v>
      </c>
      <c r="R16" s="23">
        <f t="shared" si="7"/>
        <v>40.613237986984103</v>
      </c>
      <c r="S16" s="23">
        <f t="shared" si="8"/>
        <v>43.935353979026495</v>
      </c>
      <c r="T16">
        <f t="shared" si="9"/>
        <v>39.479450088109417</v>
      </c>
    </row>
    <row r="17" spans="1:20">
      <c r="A17" s="25">
        <v>1E-4</v>
      </c>
      <c r="B17">
        <v>21.581498469884</v>
      </c>
      <c r="C17">
        <v>1.4827515357496801</v>
      </c>
      <c r="D17">
        <v>90.252151456425693</v>
      </c>
      <c r="E17"/>
      <c r="F17">
        <v>44.6567567567567</v>
      </c>
      <c r="G17">
        <v>44.6567567567567</v>
      </c>
      <c r="H17">
        <v>40.646069633170796</v>
      </c>
      <c r="I17">
        <v>41.484648072080297</v>
      </c>
      <c r="J17">
        <v>2.12568843131353</v>
      </c>
      <c r="K17">
        <v>173.718882961509</v>
      </c>
      <c r="L17">
        <v>62.305238146146102</v>
      </c>
      <c r="M17">
        <v>2.1292753242568998</v>
      </c>
      <c r="N17">
        <v>258.951659818351</v>
      </c>
      <c r="O17">
        <v>186.60650936169799</v>
      </c>
      <c r="P17">
        <f t="shared" si="5"/>
        <v>45.952952152412038</v>
      </c>
      <c r="Q17">
        <f t="shared" si="6"/>
        <v>0.69636440100443497</v>
      </c>
      <c r="R17" s="23">
        <f t="shared" si="7"/>
        <v>40.352582144396784</v>
      </c>
      <c r="S17" s="23">
        <f t="shared" si="8"/>
        <v>41.061672139816913</v>
      </c>
      <c r="T17">
        <f t="shared" si="9"/>
        <v>46.296435544988945</v>
      </c>
    </row>
    <row r="18" spans="1:20">
      <c r="A18" s="25">
        <v>5.0000000000000002E-5</v>
      </c>
      <c r="B18">
        <v>18.910362120048099</v>
      </c>
      <c r="C18">
        <v>1.6921939303359199</v>
      </c>
      <c r="D18">
        <v>95.277277635550604</v>
      </c>
      <c r="E18"/>
      <c r="F18">
        <v>43.159459459459399</v>
      </c>
      <c r="G18">
        <v>43.159459459459399</v>
      </c>
      <c r="H18">
        <v>40.486725834611399</v>
      </c>
      <c r="I18">
        <v>40.191658720416903</v>
      </c>
      <c r="J18">
        <v>1.9035018336807701</v>
      </c>
      <c r="K18">
        <v>177.642336744771</v>
      </c>
      <c r="L18">
        <v>69.147087068239301</v>
      </c>
      <c r="M18">
        <v>1.90354122568163</v>
      </c>
      <c r="N18">
        <v>257.25594291388802</v>
      </c>
      <c r="O18">
        <v>190.69589340885801</v>
      </c>
      <c r="P18">
        <f t="shared" si="5"/>
        <v>35.996653888079827</v>
      </c>
      <c r="Q18">
        <f t="shared" si="6"/>
        <v>0.88897151661633711</v>
      </c>
      <c r="R18" s="23">
        <f t="shared" si="7"/>
        <v>40.152561076215243</v>
      </c>
      <c r="S18" s="23">
        <f t="shared" si="8"/>
        <v>39.748645105305428</v>
      </c>
      <c r="T18">
        <f t="shared" si="9"/>
        <v>50.832858328062841</v>
      </c>
    </row>
    <row r="19" spans="1:20">
      <c r="A19" s="25">
        <v>1.0000000000000001E-5</v>
      </c>
      <c r="B19">
        <v>13.3505526214649</v>
      </c>
      <c r="C19">
        <v>2.3969045257760002</v>
      </c>
      <c r="D19">
        <v>107.998447542346</v>
      </c>
      <c r="E19"/>
      <c r="F19">
        <v>39.9229729729729</v>
      </c>
      <c r="G19">
        <v>39.9229729729729</v>
      </c>
      <c r="H19">
        <v>39.890453765098599</v>
      </c>
      <c r="I19">
        <v>37.380417329308798</v>
      </c>
      <c r="J19">
        <v>1.55453686189943</v>
      </c>
      <c r="K19">
        <v>191.72992410945301</v>
      </c>
      <c r="L19">
        <v>86.291861951225698</v>
      </c>
      <c r="M19">
        <v>1.5564824653036999</v>
      </c>
      <c r="N19">
        <v>252.77704857572999</v>
      </c>
      <c r="O19">
        <v>204.764098082575</v>
      </c>
      <c r="P19">
        <f t="shared" si="5"/>
        <v>20.77990105742446</v>
      </c>
      <c r="Q19">
        <f t="shared" si="6"/>
        <v>1.5399495845321443</v>
      </c>
      <c r="R19" s="23">
        <f t="shared" si="7"/>
        <v>39.424441184521456</v>
      </c>
      <c r="S19" s="23">
        <f t="shared" si="8"/>
        <v>36.876177683657495</v>
      </c>
      <c r="T19">
        <f t="shared" si="9"/>
        <v>65.697227482685108</v>
      </c>
    </row>
    <row r="20" spans="1:20">
      <c r="A20" s="2"/>
    </row>
    <row r="21" spans="1:20">
      <c r="A21" s="2"/>
    </row>
    <row r="22" spans="1:20">
      <c r="A22" s="2" t="s">
        <v>50</v>
      </c>
      <c r="E22" s="2"/>
    </row>
    <row r="23" spans="1:20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24" t="s">
        <v>7</v>
      </c>
      <c r="I23" s="24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21</v>
      </c>
      <c r="Q23" s="1" t="s">
        <v>22</v>
      </c>
      <c r="R23" s="24" t="s">
        <v>23</v>
      </c>
      <c r="S23" s="24" t="s">
        <v>24</v>
      </c>
      <c r="T23" s="1" t="s">
        <v>46</v>
      </c>
    </row>
    <row r="24" spans="1:20">
      <c r="A24" s="25">
        <v>0.01</v>
      </c>
      <c r="B24">
        <v>41.564579857474101</v>
      </c>
      <c r="C24">
        <v>0.76988628562417005</v>
      </c>
      <c r="D24">
        <v>50.923478699169699</v>
      </c>
      <c r="E24"/>
      <c r="F24">
        <v>77.205566972972903</v>
      </c>
      <c r="G24">
        <v>247.70580556756701</v>
      </c>
      <c r="H24">
        <v>93.002039815481695</v>
      </c>
      <c r="I24">
        <v>341.14088862131803</v>
      </c>
      <c r="J24">
        <v>2.4139191169844501</v>
      </c>
      <c r="K24">
        <v>109.347400641703</v>
      </c>
      <c r="L24">
        <v>47.913869144492601</v>
      </c>
      <c r="M24">
        <v>2.4168589245428902</v>
      </c>
      <c r="N24">
        <v>224.47670456238501</v>
      </c>
      <c r="O24">
        <v>156.360202476566</v>
      </c>
      <c r="P24">
        <f t="shared" ref="P24:P30" si="10">B24*M24</f>
        <v>100.45572577341193</v>
      </c>
      <c r="Q24">
        <f t="shared" ref="Q24:Q30" si="11">C24/M24</f>
        <v>0.31854829332654638</v>
      </c>
      <c r="R24" s="23">
        <f t="shared" ref="R24:R30" si="12">1/(1/H24+1/(N24*B24))</f>
        <v>92.08416646167376</v>
      </c>
      <c r="S24" s="23">
        <f t="shared" ref="S24:S30" si="13">1/(1/I24+1/(O24*B24))</f>
        <v>324.12715702269765</v>
      </c>
      <c r="T24">
        <f>$Y$2/R24+$Y$2/S24+$Y$2/($Z$2*P24)</f>
        <v>15.606687008953671</v>
      </c>
    </row>
    <row r="25" spans="1:20">
      <c r="A25" s="25">
        <v>5.0000000000000001E-3</v>
      </c>
      <c r="B25">
        <v>32.891968036591798</v>
      </c>
      <c r="C25">
        <v>0.97288188911044904</v>
      </c>
      <c r="D25">
        <v>56.307149224278099</v>
      </c>
      <c r="E25"/>
      <c r="F25">
        <v>75.518343621621597</v>
      </c>
      <c r="G25">
        <v>219.36976183783699</v>
      </c>
      <c r="H25">
        <v>90.730069319272502</v>
      </c>
      <c r="I25">
        <v>293.70846343264498</v>
      </c>
      <c r="J25">
        <v>2.02532864009794</v>
      </c>
      <c r="K25">
        <v>119.591050033763</v>
      </c>
      <c r="L25">
        <v>55.320169540695503</v>
      </c>
      <c r="M25">
        <v>2.0277170828025901</v>
      </c>
      <c r="N25">
        <v>229.780873628216</v>
      </c>
      <c r="O25">
        <v>164.91073237783999</v>
      </c>
      <c r="P25">
        <f t="shared" si="10"/>
        <v>66.695605474793965</v>
      </c>
      <c r="Q25">
        <f t="shared" si="11"/>
        <v>0.47979173098733746</v>
      </c>
      <c r="R25" s="23">
        <f t="shared" si="12"/>
        <v>89.653811635193151</v>
      </c>
      <c r="S25" s="23">
        <f t="shared" si="13"/>
        <v>278.62181406944069</v>
      </c>
      <c r="T25">
        <f t="shared" ref="T25:T30" si="14">$Y$2/R25+$Y$2/S25+$Y$2/($Z$2*P25)</f>
        <v>19.418412489095886</v>
      </c>
    </row>
    <row r="26" spans="1:20">
      <c r="A26" s="25">
        <v>1E-3</v>
      </c>
      <c r="B26">
        <v>19.820682692513699</v>
      </c>
      <c r="C26">
        <v>1.61447516699746</v>
      </c>
      <c r="D26">
        <v>69.053871996297403</v>
      </c>
      <c r="E26"/>
      <c r="F26">
        <v>71.684586243243203</v>
      </c>
      <c r="G26">
        <v>171.773425216216</v>
      </c>
      <c r="H26">
        <v>85.092578563494897</v>
      </c>
      <c r="I26">
        <v>222.18606072135501</v>
      </c>
      <c r="J26">
        <v>1.5681977377490599</v>
      </c>
      <c r="K26">
        <v>150.269281841409</v>
      </c>
      <c r="L26">
        <v>80.439869590986703</v>
      </c>
      <c r="M26">
        <v>1.5702664889973901</v>
      </c>
      <c r="N26">
        <v>242.057738869839</v>
      </c>
      <c r="O26">
        <v>188.03858536297801</v>
      </c>
      <c r="P26">
        <f t="shared" si="10"/>
        <v>31.123753821104824</v>
      </c>
      <c r="Q26">
        <f t="shared" si="11"/>
        <v>1.028153614886284</v>
      </c>
      <c r="R26" s="23">
        <f t="shared" si="12"/>
        <v>83.609682616976571</v>
      </c>
      <c r="S26" s="23">
        <f t="shared" si="13"/>
        <v>209.68576809803182</v>
      </c>
      <c r="T26">
        <f t="shared" si="14"/>
        <v>31.90572011076009</v>
      </c>
    </row>
    <row r="27" spans="1:20">
      <c r="A27" s="25">
        <v>5.0000000000000001E-4</v>
      </c>
      <c r="B27">
        <v>16.2067842622711</v>
      </c>
      <c r="C27">
        <v>1.97448176529967</v>
      </c>
      <c r="D27">
        <v>74.591443368017394</v>
      </c>
      <c r="E27"/>
      <c r="F27">
        <v>69.912247297297299</v>
      </c>
      <c r="G27">
        <v>156.773773162162</v>
      </c>
      <c r="H27">
        <v>82.575784723286105</v>
      </c>
      <c r="I27">
        <v>199.60438423038599</v>
      </c>
      <c r="J27">
        <v>1.4615998180716501</v>
      </c>
      <c r="K27">
        <v>162.41109151781899</v>
      </c>
      <c r="L27">
        <v>87.154285847944607</v>
      </c>
      <c r="M27">
        <v>1.4619859634777299</v>
      </c>
      <c r="N27">
        <v>238.63254213145399</v>
      </c>
      <c r="O27">
        <v>199.334031196952</v>
      </c>
      <c r="P27">
        <f t="shared" si="10"/>
        <v>23.694091104552125</v>
      </c>
      <c r="Q27">
        <f t="shared" si="11"/>
        <v>1.3505476896664794</v>
      </c>
      <c r="R27" s="23">
        <f t="shared" si="12"/>
        <v>80.849534629529771</v>
      </c>
      <c r="S27" s="23">
        <f t="shared" si="13"/>
        <v>187.98923595613314</v>
      </c>
      <c r="T27">
        <f t="shared" si="14"/>
        <v>39.110777908643414</v>
      </c>
    </row>
    <row r="28" spans="1:20">
      <c r="A28" s="25">
        <v>1E-4</v>
      </c>
      <c r="B28">
        <v>10.654645999366901</v>
      </c>
      <c r="C28">
        <v>3.0033846269412798</v>
      </c>
      <c r="D28">
        <v>87.522483212057693</v>
      </c>
      <c r="E28"/>
      <c r="F28">
        <v>65.671435216216196</v>
      </c>
      <c r="G28">
        <v>130.451560972972</v>
      </c>
      <c r="H28">
        <v>76.6244704822046</v>
      </c>
      <c r="I28">
        <v>166.74267551692699</v>
      </c>
      <c r="J28">
        <v>1.31590093047809</v>
      </c>
      <c r="K28">
        <v>176.5446827504</v>
      </c>
      <c r="L28">
        <v>121.264971622541</v>
      </c>
      <c r="M28">
        <v>1.3176397135750899</v>
      </c>
      <c r="N28">
        <v>232.097077294645</v>
      </c>
      <c r="O28">
        <v>214.99470968065401</v>
      </c>
      <c r="P28">
        <f t="shared" si="10"/>
        <v>14.038984702849781</v>
      </c>
      <c r="Q28">
        <f t="shared" si="11"/>
        <v>2.2793671107501288</v>
      </c>
      <c r="R28" s="23">
        <f t="shared" si="12"/>
        <v>74.321577743408952</v>
      </c>
      <c r="S28" s="23">
        <f t="shared" si="13"/>
        <v>155.42879841002397</v>
      </c>
      <c r="T28">
        <f t="shared" si="14"/>
        <v>59.502020224168476</v>
      </c>
    </row>
    <row r="29" spans="1:20">
      <c r="A29" s="25">
        <v>5.0000000000000002E-5</v>
      </c>
      <c r="B29">
        <v>9.0830418833119797</v>
      </c>
      <c r="C29">
        <v>3.5230488212096298</v>
      </c>
      <c r="D29">
        <v>93.223318419688596</v>
      </c>
      <c r="E29"/>
      <c r="F29">
        <v>63.663519162162103</v>
      </c>
      <c r="G29">
        <v>121.819510189189</v>
      </c>
      <c r="H29">
        <v>74.046951593147298</v>
      </c>
      <c r="I29">
        <v>153.76250022686801</v>
      </c>
      <c r="J29">
        <v>1.2841154615408099</v>
      </c>
      <c r="K29">
        <v>185.411036164124</v>
      </c>
      <c r="L29">
        <v>133.19634191783899</v>
      </c>
      <c r="M29">
        <v>1.28416890695601</v>
      </c>
      <c r="N29">
        <v>226.99241175441799</v>
      </c>
      <c r="O29">
        <v>218.10468920543599</v>
      </c>
      <c r="P29">
        <f t="shared" si="10"/>
        <v>11.664159967128404</v>
      </c>
      <c r="Q29">
        <f t="shared" si="11"/>
        <v>2.7434465996849697</v>
      </c>
      <c r="R29" s="23">
        <f t="shared" si="12"/>
        <v>71.47982087500975</v>
      </c>
      <c r="S29" s="23">
        <f t="shared" si="13"/>
        <v>142.68758761752403</v>
      </c>
      <c r="T29">
        <f t="shared" si="14"/>
        <v>69.696812056546918</v>
      </c>
    </row>
    <row r="30" spans="1:20">
      <c r="A30" s="25">
        <v>1.0000000000000001E-5</v>
      </c>
      <c r="B30">
        <v>6.6724509055603702</v>
      </c>
      <c r="C30">
        <v>4.7958389582654402</v>
      </c>
      <c r="D30">
        <v>107.042773812261</v>
      </c>
      <c r="E30"/>
      <c r="F30">
        <v>59.065030648648602</v>
      </c>
      <c r="G30">
        <v>106.810439621621</v>
      </c>
      <c r="H30">
        <v>68.054091528519507</v>
      </c>
      <c r="I30">
        <v>132.472479474198</v>
      </c>
      <c r="J30">
        <v>1.2301745282404699</v>
      </c>
      <c r="K30">
        <v>189.181527182049</v>
      </c>
      <c r="L30">
        <v>152.14122206270099</v>
      </c>
      <c r="M30">
        <v>1.23068225554488</v>
      </c>
      <c r="N30">
        <v>218.676603120382</v>
      </c>
      <c r="O30">
        <v>226.57633451438801</v>
      </c>
      <c r="P30">
        <f t="shared" si="10"/>
        <v>8.2116669304675138</v>
      </c>
      <c r="Q30">
        <f t="shared" si="11"/>
        <v>3.8968945368779209</v>
      </c>
      <c r="R30" s="23">
        <f t="shared" si="12"/>
        <v>65.021435941679542</v>
      </c>
      <c r="S30" s="23">
        <f t="shared" si="13"/>
        <v>121.79982621415321</v>
      </c>
      <c r="T30">
        <f t="shared" si="14"/>
        <v>94.927114367871084</v>
      </c>
    </row>
    <row r="31" spans="1:20">
      <c r="A31" s="2"/>
    </row>
    <row r="32" spans="1:20">
      <c r="A32" s="2"/>
    </row>
    <row r="33" spans="1:20">
      <c r="A33" s="2" t="s">
        <v>51</v>
      </c>
      <c r="E33" s="2"/>
    </row>
    <row r="34" spans="1:20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24" t="s">
        <v>7</v>
      </c>
      <c r="I34" s="24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21</v>
      </c>
      <c r="Q34" s="1" t="s">
        <v>22</v>
      </c>
      <c r="R34" s="24" t="s">
        <v>23</v>
      </c>
      <c r="S34" s="24" t="s">
        <v>24</v>
      </c>
      <c r="T34" s="1" t="s">
        <v>46</v>
      </c>
    </row>
    <row r="35" spans="1:20">
      <c r="A35" s="25">
        <v>0.01</v>
      </c>
      <c r="B35">
        <v>53.701566991139401</v>
      </c>
      <c r="C35">
        <v>0.59588577750961802</v>
      </c>
      <c r="D35">
        <v>36.601916129416601</v>
      </c>
      <c r="E35"/>
      <c r="F35"/>
      <c r="G35"/>
      <c r="H35">
        <v>295.26621347433598</v>
      </c>
      <c r="I35">
        <v>3236.8562631167401</v>
      </c>
      <c r="J35">
        <v>1.31139015322432</v>
      </c>
      <c r="K35">
        <v>105.140268122856</v>
      </c>
      <c r="L35">
        <v>32.426729433295201</v>
      </c>
      <c r="M35">
        <v>1.31141206915714</v>
      </c>
      <c r="N35">
        <v>226.87857555743</v>
      </c>
      <c r="O35">
        <v>169.57582997866399</v>
      </c>
      <c r="P35">
        <f t="shared" ref="P35:P41" si="15">B35*M35</f>
        <v>70.424883084830896</v>
      </c>
      <c r="Q35">
        <f t="shared" ref="Q35:Q41" si="16">C35/M35</f>
        <v>0.45438485089785763</v>
      </c>
      <c r="R35" s="23">
        <f t="shared" ref="R35:R41" si="17">1/(1/H35+1/(N35*B35))</f>
        <v>288.27990622431298</v>
      </c>
      <c r="S35" s="23">
        <f t="shared" ref="S35:S41" si="18">1/(1/I35+1/(O35*B35))</f>
        <v>2388.039409282776</v>
      </c>
      <c r="T35">
        <f>$Y$2/R35+$Y$2/S35+$Y$2/($Z$2*P35)</f>
        <v>11.811146980074444</v>
      </c>
    </row>
    <row r="36" spans="1:20">
      <c r="A36" s="25">
        <v>5.0000000000000001E-3</v>
      </c>
      <c r="B36">
        <v>45.261117479281303</v>
      </c>
      <c r="C36">
        <v>0.70700861538931803</v>
      </c>
      <c r="D36">
        <v>37.692166049862699</v>
      </c>
      <c r="E36"/>
      <c r="F36"/>
      <c r="G36"/>
      <c r="H36">
        <v>290.31669960518201</v>
      </c>
      <c r="I36">
        <v>2863.6678273851899</v>
      </c>
      <c r="J36">
        <v>1.2885455848932501</v>
      </c>
      <c r="K36">
        <v>111.46628485924499</v>
      </c>
      <c r="L36">
        <v>36.375962803916202</v>
      </c>
      <c r="M36">
        <v>1.28809026512131</v>
      </c>
      <c r="N36">
        <v>225.16854061392701</v>
      </c>
      <c r="O36">
        <v>169.38443430263601</v>
      </c>
      <c r="P36">
        <f t="shared" si="15"/>
        <v>58.300404813574211</v>
      </c>
      <c r="Q36">
        <f t="shared" si="16"/>
        <v>0.54888126595905395</v>
      </c>
      <c r="R36" s="23">
        <f t="shared" si="17"/>
        <v>282.27565526477815</v>
      </c>
      <c r="S36" s="23">
        <f t="shared" si="18"/>
        <v>2084.8985668240039</v>
      </c>
      <c r="T36">
        <f t="shared" ref="T36:T41" si="19">$Y$2/R36+$Y$2/S36+$Y$2/($Z$2*P36)</f>
        <v>13.827447746862038</v>
      </c>
    </row>
    <row r="37" spans="1:20">
      <c r="A37" s="25">
        <v>1E-3</v>
      </c>
      <c r="B37">
        <v>30.6800069236977</v>
      </c>
      <c r="C37">
        <v>1.0430245364541499</v>
      </c>
      <c r="D37">
        <v>38.265895893643297</v>
      </c>
      <c r="E37"/>
      <c r="F37"/>
      <c r="G37"/>
      <c r="H37">
        <v>279.03818807438898</v>
      </c>
      <c r="I37">
        <v>2390.9633810403202</v>
      </c>
      <c r="J37">
        <v>1.26484806101629</v>
      </c>
      <c r="K37">
        <v>135.02831187138</v>
      </c>
      <c r="L37">
        <v>49.233384430835898</v>
      </c>
      <c r="M37">
        <v>1.2642052975119</v>
      </c>
      <c r="N37">
        <v>231.88573840448501</v>
      </c>
      <c r="O37">
        <v>170.83932102259701</v>
      </c>
      <c r="P37">
        <f t="shared" si="15"/>
        <v>38.785827280640405</v>
      </c>
      <c r="Q37">
        <f t="shared" si="16"/>
        <v>0.82504363690528826</v>
      </c>
      <c r="R37" s="23">
        <f t="shared" si="17"/>
        <v>268.50671079324553</v>
      </c>
      <c r="S37" s="23">
        <f t="shared" si="18"/>
        <v>1641.9500161871331</v>
      </c>
      <c r="T37">
        <f t="shared" si="19"/>
        <v>19.666130564887858</v>
      </c>
    </row>
    <row r="38" spans="1:20">
      <c r="A38" s="25">
        <v>5.0000000000000001E-4</v>
      </c>
      <c r="B38">
        <v>26.062374117024198</v>
      </c>
      <c r="C38">
        <v>1.2278236762435699</v>
      </c>
      <c r="D38">
        <v>38.293694204053402</v>
      </c>
      <c r="E38"/>
      <c r="F38"/>
      <c r="G38"/>
      <c r="H38">
        <v>274.56132403264297</v>
      </c>
      <c r="I38">
        <v>2268.9873554535502</v>
      </c>
      <c r="J38">
        <v>1.2572383028529699</v>
      </c>
      <c r="K38">
        <v>136.17376925124901</v>
      </c>
      <c r="L38">
        <v>55.011068897591102</v>
      </c>
      <c r="M38">
        <v>1.25726131105098</v>
      </c>
      <c r="N38">
        <v>234.57229287011501</v>
      </c>
      <c r="O38">
        <v>173.00783920660299</v>
      </c>
      <c r="P38">
        <f t="shared" si="15"/>
        <v>32.767214651470972</v>
      </c>
      <c r="Q38">
        <f t="shared" si="16"/>
        <v>0.97658590577101079</v>
      </c>
      <c r="R38" s="23">
        <f t="shared" si="17"/>
        <v>262.76059314694425</v>
      </c>
      <c r="S38" s="23">
        <f t="shared" si="18"/>
        <v>1509.42450533223</v>
      </c>
      <c r="T38">
        <f t="shared" si="19"/>
        <v>22.846707718985954</v>
      </c>
    </row>
    <row r="39" spans="1:20">
      <c r="A39" s="25">
        <v>1E-4</v>
      </c>
      <c r="B39">
        <v>17.402818791882599</v>
      </c>
      <c r="C39">
        <v>1.83878257785032</v>
      </c>
      <c r="D39" t="e">
        <f>-inf</f>
        <v>#NAME?</v>
      </c>
      <c r="E39"/>
      <c r="F39"/>
      <c r="G39"/>
      <c r="H39">
        <v>263.77440516305001</v>
      </c>
      <c r="I39">
        <v>1989.47867387051</v>
      </c>
      <c r="J39">
        <v>1.2280330095196501</v>
      </c>
      <c r="K39">
        <v>151.810864347136</v>
      </c>
      <c r="L39">
        <v>70.951162757042098</v>
      </c>
      <c r="M39">
        <v>1.22908950324355</v>
      </c>
      <c r="N39">
        <v>237.11888849106501</v>
      </c>
      <c r="O39">
        <v>185.99664981211799</v>
      </c>
      <c r="P39">
        <f t="shared" si="15"/>
        <v>21.389621903952502</v>
      </c>
      <c r="Q39">
        <f t="shared" si="16"/>
        <v>1.4960526251325053</v>
      </c>
      <c r="R39" s="23">
        <f t="shared" si="17"/>
        <v>247.92656895534907</v>
      </c>
      <c r="S39" s="23">
        <f t="shared" si="18"/>
        <v>1232.1567507307686</v>
      </c>
      <c r="T39">
        <f t="shared" si="19"/>
        <v>33.693347701838533</v>
      </c>
    </row>
    <row r="40" spans="1:20">
      <c r="A40" s="25">
        <v>5.0000000000000002E-5</v>
      </c>
      <c r="B40">
        <v>14.589512260937299</v>
      </c>
      <c r="C40">
        <v>2.1933563938034002</v>
      </c>
      <c r="D40" t="e">
        <f>-inf</f>
        <v>#NAME?</v>
      </c>
      <c r="E40"/>
      <c r="F40"/>
      <c r="G40"/>
      <c r="H40">
        <v>258.232549423519</v>
      </c>
      <c r="I40">
        <v>1872.30295205116</v>
      </c>
      <c r="J40">
        <v>1.21936131273538</v>
      </c>
      <c r="K40">
        <v>159.209329173264</v>
      </c>
      <c r="L40">
        <v>76.361276880909998</v>
      </c>
      <c r="M40">
        <v>1.2192321656329299</v>
      </c>
      <c r="N40">
        <v>234.38804503704699</v>
      </c>
      <c r="O40">
        <v>189.778183633796</v>
      </c>
      <c r="P40">
        <f t="shared" si="15"/>
        <v>17.788002629430768</v>
      </c>
      <c r="Q40">
        <f t="shared" si="16"/>
        <v>1.7989653288590703</v>
      </c>
      <c r="R40" s="23">
        <f t="shared" si="17"/>
        <v>240.10124053198265</v>
      </c>
      <c r="S40" s="23">
        <f t="shared" si="18"/>
        <v>1116.9781550301971</v>
      </c>
      <c r="T40">
        <f t="shared" si="19"/>
        <v>40.015283807041492</v>
      </c>
    </row>
    <row r="41" spans="1:20">
      <c r="A41" s="25">
        <v>1.0000000000000001E-5</v>
      </c>
      <c r="B41">
        <v>9.8305205983425701</v>
      </c>
      <c r="C41">
        <v>3.2551683992600702</v>
      </c>
      <c r="D41" t="e">
        <f>-inf</f>
        <v>#NAME?</v>
      </c>
      <c r="E41"/>
      <c r="F41"/>
      <c r="G41"/>
      <c r="H41">
        <v>242.32482123516399</v>
      </c>
      <c r="I41">
        <v>1588.6995862096301</v>
      </c>
      <c r="J41">
        <v>1.21092095723126</v>
      </c>
      <c r="K41">
        <v>172.38509616281399</v>
      </c>
      <c r="L41">
        <v>96.251549134265801</v>
      </c>
      <c r="M41">
        <v>1.2114404911576599</v>
      </c>
      <c r="N41">
        <v>236.432048715619</v>
      </c>
      <c r="O41">
        <v>201.34210182156801</v>
      </c>
      <c r="P41">
        <f t="shared" si="15"/>
        <v>11.909090701991616</v>
      </c>
      <c r="Q41">
        <f t="shared" si="16"/>
        <v>2.6870229474907275</v>
      </c>
      <c r="R41" s="23">
        <f t="shared" si="17"/>
        <v>219.44556767094392</v>
      </c>
      <c r="S41" s="23">
        <f t="shared" si="18"/>
        <v>881.30936491051079</v>
      </c>
      <c r="T41">
        <f t="shared" si="19"/>
        <v>58.549927427204338</v>
      </c>
    </row>
    <row r="42" spans="1:20">
      <c r="A42" s="2"/>
    </row>
    <row r="43" spans="1:20">
      <c r="A43" s="2"/>
      <c r="E43" s="2"/>
    </row>
    <row r="44" spans="1:20">
      <c r="A44" s="2" t="s">
        <v>52</v>
      </c>
      <c r="E44" s="2"/>
    </row>
    <row r="45" spans="1:20">
      <c r="A45" s="1" t="s">
        <v>19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24" t="s">
        <v>7</v>
      </c>
      <c r="I45" s="24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21</v>
      </c>
      <c r="Q45" s="1" t="s">
        <v>22</v>
      </c>
      <c r="R45" s="24" t="s">
        <v>23</v>
      </c>
      <c r="S45" s="24" t="s">
        <v>24</v>
      </c>
      <c r="T45" s="1" t="s">
        <v>46</v>
      </c>
    </row>
    <row r="46" spans="1:20">
      <c r="A46" s="25">
        <v>0.5</v>
      </c>
      <c r="B46">
        <v>62.885746711443197</v>
      </c>
      <c r="C46">
        <v>0.5</v>
      </c>
      <c r="D46">
        <v>50.637823945659498</v>
      </c>
      <c r="E46"/>
      <c r="F46"/>
      <c r="G46"/>
      <c r="H46">
        <v>432.355562469544</v>
      </c>
      <c r="I46">
        <v>353.86775914210801</v>
      </c>
      <c r="J46">
        <v>1.4053253350147099</v>
      </c>
      <c r="K46">
        <v>100.023103397233</v>
      </c>
      <c r="L46">
        <v>52.550013287195902</v>
      </c>
      <c r="M46">
        <v>1.4027146374219199</v>
      </c>
      <c r="N46">
        <v>246.54660918081299</v>
      </c>
      <c r="O46">
        <v>190.77701762589501</v>
      </c>
      <c r="P46">
        <f>B46*M46</f>
        <v>88.210757397348743</v>
      </c>
      <c r="Q46">
        <f>C46/M46</f>
        <v>0.35645168779229464</v>
      </c>
      <c r="R46" s="23">
        <f>1/(1/H46+1/(N46*B46))</f>
        <v>420.62589237022263</v>
      </c>
      <c r="S46" s="23">
        <f>1/(1/I46+1/(O46*B46))</f>
        <v>343.72913408364798</v>
      </c>
      <c r="T46">
        <f>$Y$2/R46+$Y$2/S46+$Y$2/($Z$2*P46)</f>
        <v>10.855155495563407</v>
      </c>
    </row>
    <row r="47" spans="1:20">
      <c r="A47" s="25">
        <v>1</v>
      </c>
      <c r="B47">
        <v>31.442831619480899</v>
      </c>
      <c r="C47">
        <v>1</v>
      </c>
      <c r="D47">
        <v>61.874275375813603</v>
      </c>
      <c r="E47"/>
      <c r="F47"/>
      <c r="G47"/>
      <c r="H47">
        <v>360.57553921465302</v>
      </c>
      <c r="I47">
        <v>349.08716398522898</v>
      </c>
      <c r="J47">
        <v>1.41114893709344</v>
      </c>
      <c r="K47">
        <v>155.56695253685001</v>
      </c>
      <c r="L47">
        <v>101.31641415219001</v>
      </c>
      <c r="M47">
        <v>1.4143827046297099</v>
      </c>
      <c r="N47">
        <v>224.27605953653699</v>
      </c>
      <c r="O47">
        <v>278.49787208508502</v>
      </c>
      <c r="P47">
        <f t="shared" ref="P47:P53" si="20">B47*M47</f>
        <v>44.472197227177958</v>
      </c>
      <c r="Q47">
        <f t="shared" ref="Q47:Q53" si="21">C47/M47</f>
        <v>0.70702222017187588</v>
      </c>
      <c r="R47" s="23">
        <f t="shared" ref="R47:R53" si="22">1/(1/H47+1/(N47*B47))</f>
        <v>343.03549227173602</v>
      </c>
      <c r="S47" s="23">
        <f t="shared" ref="S47:S53" si="23">1/(1/I47+1/(O47*B47))</f>
        <v>335.70435367270085</v>
      </c>
      <c r="T47">
        <f t="shared" ref="T47:T53" si="24">$Y$2/R47+$Y$2/S47+$Y$2/($Z$2*P47)</f>
        <v>18.532481162972182</v>
      </c>
    </row>
    <row r="48" spans="1:20">
      <c r="A48" s="25">
        <v>2</v>
      </c>
      <c r="B48">
        <v>15.7214158097404</v>
      </c>
      <c r="C48">
        <v>2</v>
      </c>
      <c r="D48">
        <v>74.079901761073003</v>
      </c>
      <c r="E48"/>
      <c r="F48"/>
      <c r="G48"/>
      <c r="H48">
        <v>269.41794279709001</v>
      </c>
      <c r="I48">
        <v>272.65275244408201</v>
      </c>
      <c r="J48">
        <v>1.4227679781917</v>
      </c>
      <c r="K48">
        <v>229.75854556543001</v>
      </c>
      <c r="L48">
        <v>153.73530394054001</v>
      </c>
      <c r="M48">
        <v>1.42076737092469</v>
      </c>
      <c r="N48">
        <v>287.91801723849699</v>
      </c>
      <c r="O48">
        <v>288.10343988509698</v>
      </c>
      <c r="P48">
        <f t="shared" si="20"/>
        <v>22.336474607218722</v>
      </c>
      <c r="Q48">
        <f t="shared" si="21"/>
        <v>1.4076899856577669</v>
      </c>
      <c r="R48" s="23">
        <f t="shared" si="22"/>
        <v>254.28291575986327</v>
      </c>
      <c r="S48" s="23">
        <f t="shared" si="23"/>
        <v>257.17195276841591</v>
      </c>
      <c r="T48">
        <f t="shared" si="24"/>
        <v>34.342585090339263</v>
      </c>
    </row>
    <row r="49" spans="1:20">
      <c r="A49" s="25">
        <v>4</v>
      </c>
      <c r="B49">
        <v>7.8607079048702397</v>
      </c>
      <c r="C49">
        <v>4</v>
      </c>
      <c r="D49">
        <v>87.312265880115902</v>
      </c>
      <c r="E49"/>
      <c r="F49"/>
      <c r="G49"/>
      <c r="H49">
        <v>195.33124549049899</v>
      </c>
      <c r="I49">
        <v>212.93201596542301</v>
      </c>
      <c r="J49">
        <v>1.44346914155283</v>
      </c>
      <c r="K49">
        <v>246.21533197395101</v>
      </c>
      <c r="L49">
        <v>190.61992221252399</v>
      </c>
      <c r="M49">
        <v>1.4473705862390001</v>
      </c>
      <c r="N49">
        <v>308.35010840202199</v>
      </c>
      <c r="O49">
        <v>294.52554223088498</v>
      </c>
      <c r="P49">
        <f t="shared" si="20"/>
        <v>11.377357408525581</v>
      </c>
      <c r="Q49">
        <f t="shared" si="21"/>
        <v>2.7636322293891715</v>
      </c>
      <c r="R49" s="23">
        <f t="shared" si="22"/>
        <v>180.7639857523462</v>
      </c>
      <c r="S49" s="23">
        <f t="shared" si="23"/>
        <v>194.9976616155954</v>
      </c>
      <c r="T49">
        <f t="shared" si="24"/>
        <v>64.357266578179193</v>
      </c>
    </row>
    <row r="50" spans="1:20">
      <c r="A50" s="25">
        <v>6</v>
      </c>
      <c r="B50">
        <v>5.2404719365801604</v>
      </c>
      <c r="C50">
        <v>6</v>
      </c>
      <c r="D50">
        <v>98.829834598691505</v>
      </c>
      <c r="E50"/>
      <c r="F50"/>
      <c r="G50"/>
      <c r="H50">
        <v>179.67382809844699</v>
      </c>
      <c r="I50">
        <v>196.76579732480599</v>
      </c>
      <c r="J50">
        <v>1.4533214183294201</v>
      </c>
      <c r="K50">
        <v>263.19800206644999</v>
      </c>
      <c r="L50">
        <v>188.08971311356601</v>
      </c>
      <c r="M50">
        <v>1.4523956515665399</v>
      </c>
      <c r="N50">
        <v>317.649997743244</v>
      </c>
      <c r="O50">
        <v>280.951506053917</v>
      </c>
      <c r="P50">
        <f t="shared" si="20"/>
        <v>7.6112386528455094</v>
      </c>
      <c r="Q50">
        <f t="shared" si="21"/>
        <v>4.1311057310922532</v>
      </c>
      <c r="R50" s="23">
        <f t="shared" si="22"/>
        <v>162.16988934443648</v>
      </c>
      <c r="S50" s="23">
        <f t="shared" si="23"/>
        <v>173.56937791513235</v>
      </c>
      <c r="T50">
        <f t="shared" si="24"/>
        <v>93.584992874571483</v>
      </c>
    </row>
    <row r="51" spans="1:20">
      <c r="A51" s="25">
        <v>8</v>
      </c>
      <c r="B51">
        <v>3.9303539524351199</v>
      </c>
      <c r="C51">
        <v>8</v>
      </c>
      <c r="D51">
        <v>110.82847294764299</v>
      </c>
      <c r="E51"/>
      <c r="F51"/>
      <c r="G51"/>
      <c r="H51">
        <v>170.09861187098099</v>
      </c>
      <c r="I51">
        <v>188.333725379382</v>
      </c>
      <c r="J51">
        <v>1.4587594258530101</v>
      </c>
      <c r="K51">
        <v>291.15131152339302</v>
      </c>
      <c r="L51">
        <v>198.26139607461701</v>
      </c>
      <c r="M51">
        <v>1.4566437146937701</v>
      </c>
      <c r="N51">
        <v>323.73664602919501</v>
      </c>
      <c r="O51">
        <v>272.40763524099202</v>
      </c>
      <c r="P51">
        <f t="shared" si="20"/>
        <v>5.7251253813364347</v>
      </c>
      <c r="Q51">
        <f t="shared" si="21"/>
        <v>5.4920773826164062</v>
      </c>
      <c r="R51" s="23">
        <f t="shared" si="22"/>
        <v>150.04067530191955</v>
      </c>
      <c r="S51" s="23">
        <f t="shared" si="23"/>
        <v>160.16072042391818</v>
      </c>
      <c r="T51">
        <f t="shared" si="24"/>
        <v>122.4905422407333</v>
      </c>
    </row>
    <row r="52" spans="1:20">
      <c r="A52" s="25">
        <v>12</v>
      </c>
      <c r="B52">
        <v>2.6202359682900802</v>
      </c>
      <c r="C52">
        <v>12</v>
      </c>
      <c r="D52">
        <v>134.91911251751799</v>
      </c>
      <c r="E52"/>
      <c r="F52"/>
      <c r="G52"/>
      <c r="H52">
        <v>145.81423931454901</v>
      </c>
      <c r="I52">
        <v>176.12922824662101</v>
      </c>
      <c r="J52">
        <v>1.4656928685773001</v>
      </c>
      <c r="K52">
        <v>295.42184247387502</v>
      </c>
      <c r="L52">
        <v>200.79842169681501</v>
      </c>
      <c r="M52">
        <v>1.4701565010561899</v>
      </c>
      <c r="N52">
        <v>330.71229786015499</v>
      </c>
      <c r="O52">
        <v>267.75059016105899</v>
      </c>
      <c r="P52">
        <f t="shared" si="20"/>
        <v>3.8521569430829219</v>
      </c>
      <c r="Q52">
        <f t="shared" si="21"/>
        <v>8.162396310446514</v>
      </c>
      <c r="R52" s="23">
        <f t="shared" si="22"/>
        <v>124.81200300884191</v>
      </c>
      <c r="S52" s="23">
        <f t="shared" si="23"/>
        <v>140.78509930368915</v>
      </c>
      <c r="T52">
        <f t="shared" si="24"/>
        <v>179.38936661736886</v>
      </c>
    </row>
    <row r="53" spans="1:20">
      <c r="A53" s="25">
        <v>16</v>
      </c>
      <c r="B53">
        <v>1.9651769762175599</v>
      </c>
      <c r="C53">
        <v>16</v>
      </c>
      <c r="D53">
        <v>159.00181820919499</v>
      </c>
      <c r="E53"/>
      <c r="F53"/>
      <c r="G53"/>
      <c r="H53">
        <v>121.698753175123</v>
      </c>
      <c r="I53">
        <v>166.661338946493</v>
      </c>
      <c r="J53">
        <v>1.4712467564626801</v>
      </c>
      <c r="K53">
        <v>301.49670924372401</v>
      </c>
      <c r="L53">
        <v>217.88778871045801</v>
      </c>
      <c r="M53">
        <v>1.4748934940226099</v>
      </c>
      <c r="N53">
        <v>335.75469498218803</v>
      </c>
      <c r="O53">
        <v>264.60518486669002</v>
      </c>
      <c r="P53">
        <f t="shared" si="20"/>
        <v>2.8984267368263046</v>
      </c>
      <c r="Q53">
        <f t="shared" si="21"/>
        <v>10.848240950851141</v>
      </c>
      <c r="R53" s="23">
        <f t="shared" si="22"/>
        <v>102.74765851695066</v>
      </c>
      <c r="S53" s="23">
        <f t="shared" si="23"/>
        <v>126.21030226080981</v>
      </c>
      <c r="T53">
        <f t="shared" si="24"/>
        <v>236.82893872867996</v>
      </c>
    </row>
    <row r="56" spans="1:20">
      <c r="A56" s="1" t="s">
        <v>20</v>
      </c>
      <c r="E56" s="2"/>
    </row>
    <row r="57" spans="1:20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24" t="s">
        <v>7</v>
      </c>
      <c r="I57" s="24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21</v>
      </c>
      <c r="Q57" s="1" t="s">
        <v>22</v>
      </c>
      <c r="R57" s="24" t="s">
        <v>23</v>
      </c>
      <c r="S57" s="24" t="s">
        <v>24</v>
      </c>
      <c r="T57" s="1" t="s">
        <v>46</v>
      </c>
    </row>
    <row r="58" spans="1:20">
      <c r="A58" s="25">
        <v>0.01</v>
      </c>
      <c r="B58">
        <v>32.023067583530398</v>
      </c>
      <c r="C58">
        <v>0.99927965728235502</v>
      </c>
      <c r="D58">
        <v>50.923478491174002</v>
      </c>
      <c r="E58"/>
      <c r="F58">
        <v>75.927072972972894</v>
      </c>
      <c r="G58">
        <v>81.713045945945893</v>
      </c>
      <c r="H58">
        <v>78.239922800384306</v>
      </c>
      <c r="I58">
        <v>82.549255536548898</v>
      </c>
      <c r="J58">
        <v>2.1761727229863599</v>
      </c>
      <c r="K58">
        <v>125.986200962297</v>
      </c>
      <c r="L58">
        <v>56.638531642919503</v>
      </c>
      <c r="M58">
        <v>2.1780163166839199</v>
      </c>
      <c r="N58">
        <v>228.18091543359699</v>
      </c>
      <c r="O58">
        <v>148.226836437565</v>
      </c>
      <c r="P58">
        <f t="shared" ref="P58:P64" si="25">B58*M58</f>
        <v>69.746763707201112</v>
      </c>
      <c r="Q58">
        <f t="shared" ref="Q58:Q64" si="26">C58/M58</f>
        <v>0.45880264974496671</v>
      </c>
      <c r="R58" s="23">
        <f t="shared" ref="R58:R64" si="27">1/(1/H58+1/(N58*B58))</f>
        <v>77.41104767160985</v>
      </c>
      <c r="S58" s="23">
        <f t="shared" ref="S58:S64" si="28">1/(1/I58+1/(O58*B58))</f>
        <v>81.138185146247963</v>
      </c>
      <c r="T58">
        <f>$Y$2/R58+$Y$2/S58+$Y$2/($Z$2*P58)</f>
        <v>25.84647665949964</v>
      </c>
    </row>
    <row r="59" spans="1:20">
      <c r="A59" s="25">
        <v>5.0000000000000001E-3</v>
      </c>
      <c r="B59">
        <v>27.807005690972101</v>
      </c>
      <c r="C59">
        <v>1.1507891340630401</v>
      </c>
      <c r="D59">
        <v>56.307149001061703</v>
      </c>
      <c r="E59"/>
      <c r="F59">
        <v>75.9161</v>
      </c>
      <c r="G59">
        <v>81.389578378378303</v>
      </c>
      <c r="H59">
        <v>78.244828134081601</v>
      </c>
      <c r="I59">
        <v>82.330123161352901</v>
      </c>
      <c r="J59">
        <v>1.96653675990824</v>
      </c>
      <c r="K59">
        <v>132.07382012005999</v>
      </c>
      <c r="L59">
        <v>64.140583686680301</v>
      </c>
      <c r="M59">
        <v>1.96853256349544</v>
      </c>
      <c r="N59">
        <v>232.22710007535699</v>
      </c>
      <c r="O59">
        <v>156.547594650641</v>
      </c>
      <c r="P59">
        <f t="shared" si="25"/>
        <v>54.738996195981599</v>
      </c>
      <c r="Q59">
        <f t="shared" si="26"/>
        <v>0.58459237881218107</v>
      </c>
      <c r="R59" s="23">
        <f t="shared" si="27"/>
        <v>77.308100102805525</v>
      </c>
      <c r="S59" s="23">
        <f t="shared" si="28"/>
        <v>80.801924396269385</v>
      </c>
      <c r="T59">
        <f t="shared" ref="T59:T64" si="29">$Y$2/R59+$Y$2/S59+$Y$2/($Z$2*P59)</f>
        <v>28.458153936895485</v>
      </c>
    </row>
    <row r="60" spans="1:20">
      <c r="A60" s="25">
        <v>1E-3</v>
      </c>
      <c r="B60">
        <v>20.902594803025501</v>
      </c>
      <c r="C60">
        <v>1.5309104109585501</v>
      </c>
      <c r="D60">
        <v>69.0538723459496</v>
      </c>
      <c r="E60"/>
      <c r="F60">
        <v>75.821070270270198</v>
      </c>
      <c r="G60">
        <v>81.307921621621603</v>
      </c>
      <c r="H60">
        <v>78.177381165781796</v>
      </c>
      <c r="I60">
        <v>82.139032307980798</v>
      </c>
      <c r="J60">
        <v>1.6969546268254301</v>
      </c>
      <c r="K60">
        <v>156.51295887511699</v>
      </c>
      <c r="L60">
        <v>80.218660188355301</v>
      </c>
      <c r="M60">
        <v>1.69886536524758</v>
      </c>
      <c r="N60">
        <v>243.63316131737099</v>
      </c>
      <c r="O60">
        <v>166.13726948998399</v>
      </c>
      <c r="P60">
        <f t="shared" si="25"/>
        <v>35.510694354664089</v>
      </c>
      <c r="Q60">
        <f t="shared" si="26"/>
        <v>0.90113698370408923</v>
      </c>
      <c r="R60" s="23">
        <f t="shared" si="27"/>
        <v>76.995403380383067</v>
      </c>
      <c r="S60" s="23">
        <f t="shared" si="28"/>
        <v>80.241106545899981</v>
      </c>
      <c r="T60">
        <f t="shared" si="29"/>
        <v>35.00856814653892</v>
      </c>
    </row>
    <row r="61" spans="1:20">
      <c r="A61" s="25">
        <v>5.0000000000000001E-4</v>
      </c>
      <c r="B61">
        <v>18.046068005007999</v>
      </c>
      <c r="C61">
        <v>1.7732394664100499</v>
      </c>
      <c r="D61">
        <v>74.591443723869801</v>
      </c>
      <c r="E61"/>
      <c r="F61">
        <v>75.826367567567502</v>
      </c>
      <c r="G61">
        <v>81.057689189189105</v>
      </c>
      <c r="H61">
        <v>78.152987158375097</v>
      </c>
      <c r="I61">
        <v>81.884160780359807</v>
      </c>
      <c r="J61">
        <v>1.6398057401013</v>
      </c>
      <c r="K61">
        <v>164.92507925144801</v>
      </c>
      <c r="L61">
        <v>89.919401140191198</v>
      </c>
      <c r="M61">
        <v>1.64020716197088</v>
      </c>
      <c r="N61">
        <v>245.28648466725701</v>
      </c>
      <c r="O61">
        <v>168.089446565755</v>
      </c>
      <c r="P61">
        <f t="shared" si="25"/>
        <v>29.599289987227671</v>
      </c>
      <c r="Q61">
        <f t="shared" si="26"/>
        <v>1.0811070135063414</v>
      </c>
      <c r="R61" s="23">
        <f t="shared" si="27"/>
        <v>76.797067337438762</v>
      </c>
      <c r="S61" s="23">
        <f t="shared" si="28"/>
        <v>79.731832021923324</v>
      </c>
      <c r="T61">
        <f t="shared" si="29"/>
        <v>38.755044118781221</v>
      </c>
    </row>
    <row r="62" spans="1:20">
      <c r="A62" s="25">
        <v>1E-4</v>
      </c>
      <c r="B62">
        <v>12.146123222115101</v>
      </c>
      <c r="C62">
        <v>2.6345854899393499</v>
      </c>
      <c r="D62">
        <v>87.522483076825694</v>
      </c>
      <c r="E62"/>
      <c r="F62">
        <v>75.764840540540504</v>
      </c>
      <c r="G62">
        <v>80.717462162162093</v>
      </c>
      <c r="H62">
        <v>78.095016973149697</v>
      </c>
      <c r="I62">
        <v>81.533121740414899</v>
      </c>
      <c r="J62">
        <v>1.5114765954245599</v>
      </c>
      <c r="K62">
        <v>187.94221219122301</v>
      </c>
      <c r="L62">
        <v>111.35737479010599</v>
      </c>
      <c r="M62">
        <v>1.51262933644728</v>
      </c>
      <c r="N62">
        <v>256.50319190597401</v>
      </c>
      <c r="O62">
        <v>181.93889457209499</v>
      </c>
      <c r="P62">
        <f t="shared" si="25"/>
        <v>18.372582309874865</v>
      </c>
      <c r="Q62">
        <f t="shared" si="26"/>
        <v>1.7417257661597478</v>
      </c>
      <c r="R62" s="23">
        <f t="shared" si="27"/>
        <v>76.185321272277974</v>
      </c>
      <c r="S62" s="23">
        <f t="shared" si="28"/>
        <v>78.631972909722592</v>
      </c>
      <c r="T62">
        <f t="shared" si="29"/>
        <v>52.418917703416305</v>
      </c>
    </row>
    <row r="63" spans="1:20">
      <c r="A63" s="25">
        <v>5.0000000000000002E-5</v>
      </c>
      <c r="B63">
        <v>10.492764995316699</v>
      </c>
      <c r="C63">
        <v>3.0497204515952201</v>
      </c>
      <c r="D63">
        <v>93.223318281865303</v>
      </c>
      <c r="E63"/>
      <c r="F63">
        <v>75.713345945945903</v>
      </c>
      <c r="G63">
        <v>80.675043243243195</v>
      </c>
      <c r="H63">
        <v>78.086248328217593</v>
      </c>
      <c r="I63">
        <v>81.500102780759207</v>
      </c>
      <c r="J63">
        <v>1.4459312010340599</v>
      </c>
      <c r="K63">
        <v>190.184572260961</v>
      </c>
      <c r="L63">
        <v>117.794433801997</v>
      </c>
      <c r="M63">
        <v>1.4474023938281799</v>
      </c>
      <c r="N63">
        <v>255.65601149917001</v>
      </c>
      <c r="O63">
        <v>185.98696136894699</v>
      </c>
      <c r="P63">
        <f t="shared" si="25"/>
        <v>15.187253172097922</v>
      </c>
      <c r="Q63">
        <f t="shared" si="26"/>
        <v>2.1070301283177582</v>
      </c>
      <c r="R63" s="23">
        <f t="shared" si="27"/>
        <v>75.877522822928256</v>
      </c>
      <c r="S63" s="23">
        <f t="shared" si="28"/>
        <v>78.232906856533774</v>
      </c>
      <c r="T63">
        <f t="shared" si="29"/>
        <v>59.950700082459555</v>
      </c>
    </row>
    <row r="64" spans="1:20">
      <c r="A64" s="25">
        <v>1.0000000000000001E-5</v>
      </c>
      <c r="B64">
        <v>7.9175576073111698</v>
      </c>
      <c r="C64">
        <v>4.0416504163418701</v>
      </c>
      <c r="D64">
        <v>61.219363477350797</v>
      </c>
      <c r="E64"/>
      <c r="F64">
        <v>75.693289189189102</v>
      </c>
      <c r="G64">
        <v>80.620351351351303</v>
      </c>
      <c r="H64">
        <v>78.034191221902304</v>
      </c>
      <c r="I64">
        <v>81.435460116746498</v>
      </c>
      <c r="J64">
        <v>1.34382363051248</v>
      </c>
      <c r="K64">
        <v>198.34156803709499</v>
      </c>
      <c r="L64">
        <v>129.27545434218999</v>
      </c>
      <c r="M64">
        <v>1.34431508388028</v>
      </c>
      <c r="N64">
        <v>255.405382391915</v>
      </c>
      <c r="O64">
        <v>199.04481163204301</v>
      </c>
      <c r="P64">
        <f t="shared" si="25"/>
        <v>10.643692118999464</v>
      </c>
      <c r="Q64">
        <f t="shared" si="26"/>
        <v>3.0064755389606304</v>
      </c>
      <c r="R64" s="23">
        <f t="shared" si="27"/>
        <v>75.134813040730137</v>
      </c>
      <c r="S64" s="23">
        <f t="shared" si="28"/>
        <v>77.434134368741411</v>
      </c>
      <c r="T64">
        <f t="shared" si="29"/>
        <v>78.476573323301054</v>
      </c>
    </row>
    <row r="65" spans="1:21">
      <c r="A65" s="2"/>
    </row>
    <row r="66" spans="1:21">
      <c r="A66" s="2"/>
    </row>
    <row r="67" spans="1:21">
      <c r="A67" s="2"/>
      <c r="B67" s="1" t="s">
        <v>43</v>
      </c>
    </row>
    <row r="68" spans="1:21">
      <c r="A68" s="2"/>
      <c r="B68" s="1" t="s">
        <v>53</v>
      </c>
      <c r="C68" s="1" t="s">
        <v>54</v>
      </c>
      <c r="D68" s="1" t="s">
        <v>55</v>
      </c>
      <c r="E68" s="1" t="s">
        <v>56</v>
      </c>
      <c r="F68" s="19" t="s">
        <v>57</v>
      </c>
      <c r="G68" s="19" t="s">
        <v>58</v>
      </c>
      <c r="H68" s="22" t="s">
        <v>59</v>
      </c>
      <c r="I68" s="22" t="s">
        <v>60</v>
      </c>
      <c r="J68" s="19" t="s">
        <v>41</v>
      </c>
      <c r="K68" s="19" t="s">
        <v>42</v>
      </c>
      <c r="L68" s="1" t="s">
        <v>61</v>
      </c>
      <c r="M68" s="1" t="s">
        <v>62</v>
      </c>
    </row>
    <row r="69" spans="1:21">
      <c r="A69" s="2"/>
      <c r="B69" s="1">
        <v>1.11413554958528</v>
      </c>
      <c r="C69" s="1">
        <v>50.923478607050697</v>
      </c>
      <c r="D69" s="1">
        <v>0.76988628562417005</v>
      </c>
      <c r="E69" s="1">
        <v>50.923478699169699</v>
      </c>
      <c r="F69" s="1">
        <v>0.59588577750961802</v>
      </c>
      <c r="G69" s="1">
        <v>36.601916129416601</v>
      </c>
      <c r="H69" s="24">
        <v>0.5</v>
      </c>
      <c r="I69" s="24">
        <v>50.637823945659498</v>
      </c>
      <c r="J69" s="1">
        <v>0.99927965728235502</v>
      </c>
      <c r="K69" s="1">
        <v>50.923478491174002</v>
      </c>
      <c r="L69" s="1">
        <v>1.11191607834192</v>
      </c>
      <c r="M69" s="1">
        <v>60.145688416479501</v>
      </c>
    </row>
    <row r="70" spans="1:21">
      <c r="A70" s="2"/>
      <c r="B70" s="1">
        <v>1.1557841299348799</v>
      </c>
      <c r="C70" s="1">
        <v>56.307149116851498</v>
      </c>
      <c r="D70" s="1">
        <v>0.97288188911044904</v>
      </c>
      <c r="E70" s="2">
        <v>56.307149224278099</v>
      </c>
      <c r="F70" s="1">
        <v>0.70700861538931803</v>
      </c>
      <c r="G70" s="1">
        <v>37.692166049862699</v>
      </c>
      <c r="H70" s="24">
        <v>1</v>
      </c>
      <c r="I70" s="24">
        <v>61.874275375813603</v>
      </c>
      <c r="J70" s="1">
        <v>1.1507891340630401</v>
      </c>
      <c r="K70" s="1">
        <v>56.307149001061703</v>
      </c>
      <c r="L70" s="1">
        <v>1.1190133547947201</v>
      </c>
      <c r="M70" s="1">
        <v>63.994462500061204</v>
      </c>
    </row>
    <row r="71" spans="1:21">
      <c r="A71" s="2"/>
      <c r="B71" s="1">
        <v>1.29502537166161</v>
      </c>
      <c r="C71" s="1">
        <v>69.053872386058302</v>
      </c>
      <c r="D71" s="1">
        <v>1.61447516699746</v>
      </c>
      <c r="E71" s="2">
        <v>69.053871996297403</v>
      </c>
      <c r="F71" s="1">
        <v>1.0430245364541499</v>
      </c>
      <c r="G71" s="1">
        <v>38.265895893643297</v>
      </c>
      <c r="H71" s="24">
        <v>2</v>
      </c>
      <c r="I71" s="24">
        <v>74.079901761073003</v>
      </c>
      <c r="J71" s="1">
        <v>1.5309104109585501</v>
      </c>
      <c r="K71" s="1">
        <v>69.0538723459496</v>
      </c>
      <c r="L71" s="1">
        <v>1.1684390688157</v>
      </c>
      <c r="M71" s="1">
        <v>74.309788457960295</v>
      </c>
    </row>
    <row r="72" spans="1:21">
      <c r="A72" s="2"/>
      <c r="B72" s="1">
        <v>1.39328766508908</v>
      </c>
      <c r="C72" s="1">
        <v>74.5914437599221</v>
      </c>
      <c r="D72" s="1">
        <v>1.97448176529967</v>
      </c>
      <c r="E72" s="1">
        <v>74.591443368017394</v>
      </c>
      <c r="F72" s="1">
        <v>1.2278236762435699</v>
      </c>
      <c r="G72" s="1">
        <v>38.293694204053402</v>
      </c>
      <c r="H72" s="24">
        <v>4</v>
      </c>
      <c r="I72" s="24">
        <v>87.312265880115902</v>
      </c>
      <c r="J72" s="1">
        <v>1.7732394664100499</v>
      </c>
      <c r="K72" s="1">
        <v>74.591443723869801</v>
      </c>
      <c r="L72" s="1">
        <v>1.2170090131120599</v>
      </c>
      <c r="M72" s="1">
        <v>78.622689771481902</v>
      </c>
      <c r="U72" t="s">
        <v>25</v>
      </c>
    </row>
    <row r="73" spans="1:21">
      <c r="A73" s="2"/>
      <c r="B73" s="1">
        <v>1.8090530232803701</v>
      </c>
      <c r="C73" s="1">
        <v>87.522483092206201</v>
      </c>
      <c r="D73" s="1">
        <v>3.0033846269412798</v>
      </c>
      <c r="E73" s="1">
        <v>87.522483212057693</v>
      </c>
      <c r="H73" s="24">
        <v>6</v>
      </c>
      <c r="I73" s="24">
        <v>98.829834598691505</v>
      </c>
      <c r="J73" s="1">
        <v>2.6345854899393499</v>
      </c>
      <c r="K73" s="1">
        <v>87.522483076825694</v>
      </c>
      <c r="L73" s="1">
        <v>1.4917216313903501</v>
      </c>
      <c r="M73" s="1">
        <v>90.252151456425693</v>
      </c>
    </row>
    <row r="74" spans="1:21">
      <c r="A74" s="2"/>
      <c r="B74" s="1">
        <v>2.0737550385671102</v>
      </c>
      <c r="C74" s="1">
        <v>93.223318293513302</v>
      </c>
      <c r="D74" s="1">
        <v>3.5230488212096298</v>
      </c>
      <c r="E74" s="2">
        <v>93.223318419688596</v>
      </c>
      <c r="H74" s="24">
        <v>8</v>
      </c>
      <c r="I74" s="24">
        <v>110.82847294764299</v>
      </c>
      <c r="J74" s="1">
        <v>3.0497204515952201</v>
      </c>
      <c r="K74" s="1">
        <v>93.223318281865303</v>
      </c>
      <c r="L74" s="1">
        <v>1.7012669711166499</v>
      </c>
      <c r="M74" s="1">
        <v>95.277277635550604</v>
      </c>
    </row>
    <row r="75" spans="1:21">
      <c r="A75" s="2"/>
      <c r="B75" s="1">
        <v>2.9428751110548501</v>
      </c>
      <c r="C75" s="1">
        <v>107.042773676029</v>
      </c>
      <c r="D75" s="1">
        <v>4.7958389582654402</v>
      </c>
      <c r="E75" s="1">
        <v>107.042773812261</v>
      </c>
      <c r="H75" s="24">
        <v>12</v>
      </c>
      <c r="I75" s="24">
        <v>134.91911251751799</v>
      </c>
      <c r="J75" s="1">
        <v>3.6045190803859999</v>
      </c>
      <c r="K75" s="1">
        <v>101.049598941372</v>
      </c>
      <c r="L75" s="1">
        <v>2.4061484976059702</v>
      </c>
      <c r="M75" s="1">
        <v>107.998447542346</v>
      </c>
    </row>
    <row r="76" spans="1:21">
      <c r="A76" s="2"/>
      <c r="H76" s="24">
        <v>16</v>
      </c>
      <c r="I76" s="24">
        <v>159.00181820919499</v>
      </c>
    </row>
    <row r="77" spans="1:21">
      <c r="A77" s="2"/>
      <c r="E77" s="2"/>
    </row>
    <row r="78" spans="1:21">
      <c r="A78" s="2"/>
      <c r="B78" s="1" t="s">
        <v>40</v>
      </c>
    </row>
    <row r="79" spans="1:21">
      <c r="A79" s="2"/>
      <c r="B79" s="1" t="s">
        <v>53</v>
      </c>
      <c r="C79" s="1" t="s">
        <v>54</v>
      </c>
      <c r="D79" s="1" t="s">
        <v>55</v>
      </c>
      <c r="E79" s="1" t="s">
        <v>56</v>
      </c>
      <c r="F79" s="19" t="s">
        <v>57</v>
      </c>
      <c r="G79" s="19" t="s">
        <v>58</v>
      </c>
      <c r="H79" s="22" t="s">
        <v>59</v>
      </c>
      <c r="I79" s="22" t="s">
        <v>60</v>
      </c>
      <c r="J79" s="19" t="s">
        <v>41</v>
      </c>
      <c r="K79" s="19" t="s">
        <v>42</v>
      </c>
      <c r="L79" s="1" t="s">
        <v>61</v>
      </c>
      <c r="M79" s="1" t="s">
        <v>62</v>
      </c>
    </row>
    <row r="80" spans="1:21">
      <c r="A80" s="2"/>
      <c r="B80" s="1">
        <v>0.38051562507136505</v>
      </c>
      <c r="C80" s="1">
        <v>50.923478607050697</v>
      </c>
      <c r="D80" s="1">
        <v>0.31854829332654638</v>
      </c>
      <c r="E80" s="1">
        <v>50.923478699169699</v>
      </c>
      <c r="F80" s="1">
        <v>0.45438485089785763</v>
      </c>
      <c r="G80" s="1">
        <v>36.601916129416601</v>
      </c>
      <c r="H80" s="24">
        <v>0.35645168779229464</v>
      </c>
      <c r="I80" s="24">
        <v>50.637823945659498</v>
      </c>
      <c r="J80" s="1">
        <v>0.45894495834034549</v>
      </c>
      <c r="K80" s="1">
        <v>50.923478491174002</v>
      </c>
      <c r="L80" s="1">
        <v>0.38051562507136505</v>
      </c>
      <c r="M80" s="1">
        <v>60.145688416479501</v>
      </c>
    </row>
    <row r="81" spans="1:13">
      <c r="A81" s="2"/>
      <c r="B81" s="1">
        <v>0.45092112720411986</v>
      </c>
      <c r="C81" s="1">
        <v>56.307149116851498</v>
      </c>
      <c r="D81" s="1">
        <v>0.47979173098733746</v>
      </c>
      <c r="E81" s="2">
        <v>56.307149224278099</v>
      </c>
      <c r="F81" s="1">
        <v>0.54888126595905395</v>
      </c>
      <c r="G81" s="1">
        <v>37.692166049862699</v>
      </c>
      <c r="H81" s="24">
        <v>0.70702222017187588</v>
      </c>
      <c r="I81" s="24">
        <v>61.874275375813603</v>
      </c>
      <c r="J81" s="1">
        <v>0.58471111864973691</v>
      </c>
      <c r="K81" s="1">
        <v>56.307149001061703</v>
      </c>
      <c r="L81" s="1">
        <v>0.45092112720411986</v>
      </c>
      <c r="M81" s="1">
        <v>63.994462500061204</v>
      </c>
    </row>
    <row r="82" spans="1:13">
      <c r="A82" s="2"/>
      <c r="B82" s="1">
        <v>0.63803453201105043</v>
      </c>
      <c r="C82" s="1">
        <v>69.053872386058302</v>
      </c>
      <c r="D82" s="1">
        <v>1.028153614886284</v>
      </c>
      <c r="E82" s="2">
        <v>69.053871996297403</v>
      </c>
      <c r="F82" s="1">
        <v>0.82504363690528826</v>
      </c>
      <c r="G82" s="1">
        <v>38.265895893643297</v>
      </c>
      <c r="H82" s="24">
        <v>1.4076899856577669</v>
      </c>
      <c r="I82" s="24">
        <v>74.079901761073003</v>
      </c>
      <c r="J82" s="1">
        <v>0.90129275132871101</v>
      </c>
      <c r="K82" s="1">
        <v>69.0538723459496</v>
      </c>
      <c r="L82" s="1">
        <v>0.63803453201105043</v>
      </c>
      <c r="M82" s="1">
        <v>74.309788457960295</v>
      </c>
    </row>
    <row r="83" spans="1:13">
      <c r="A83" s="2"/>
      <c r="B83" s="1">
        <v>0.75354092446752408</v>
      </c>
      <c r="C83" s="1">
        <v>74.5914437599221</v>
      </c>
      <c r="D83" s="1">
        <v>1.3505476896664794</v>
      </c>
      <c r="E83" s="1">
        <v>74.591443368017394</v>
      </c>
      <c r="F83" s="1">
        <v>0.97658590577101079</v>
      </c>
      <c r="G83" s="1">
        <v>38.293694204053402</v>
      </c>
      <c r="H83" s="24">
        <v>2.7636322293891715</v>
      </c>
      <c r="I83" s="24">
        <v>87.312265880115902</v>
      </c>
      <c r="J83" s="1">
        <v>1.0811062260168118</v>
      </c>
      <c r="K83" s="1">
        <v>74.591443723869801</v>
      </c>
      <c r="L83" s="1">
        <v>0.75354092446752408</v>
      </c>
      <c r="M83" s="1">
        <v>78.622689771481902</v>
      </c>
    </row>
    <row r="84" spans="1:13">
      <c r="A84" s="2"/>
      <c r="B84" s="1">
        <v>1.201501621519524</v>
      </c>
      <c r="C84" s="1">
        <v>87.522483092206201</v>
      </c>
      <c r="D84" s="1">
        <v>2.2793671107501288</v>
      </c>
      <c r="E84" s="1">
        <v>87.522483212057693</v>
      </c>
      <c r="H84" s="24">
        <v>4.1311057310922532</v>
      </c>
      <c r="I84" s="24">
        <v>98.829834598691505</v>
      </c>
      <c r="J84" s="1">
        <v>1.742052228142114</v>
      </c>
      <c r="K84" s="1">
        <v>87.522483076825694</v>
      </c>
      <c r="L84" s="1">
        <v>1.201501621519524</v>
      </c>
      <c r="M84" s="1">
        <v>90.252151456425693</v>
      </c>
    </row>
    <row r="85" spans="1:13">
      <c r="A85" s="2"/>
      <c r="B85" s="1">
        <v>1.4598195251714308</v>
      </c>
      <c r="C85" s="1">
        <v>93.223318293513302</v>
      </c>
      <c r="D85" s="1">
        <v>2.7434465996849697</v>
      </c>
      <c r="E85" s="2">
        <v>93.223318419688596</v>
      </c>
      <c r="H85" s="24">
        <v>5.4920773826164062</v>
      </c>
      <c r="I85" s="24">
        <v>110.82847294764299</v>
      </c>
      <c r="J85" s="1">
        <v>2.1070302593412107</v>
      </c>
      <c r="K85" s="1">
        <v>93.223318281865303</v>
      </c>
      <c r="L85" s="1">
        <v>1.4598195251714308</v>
      </c>
      <c r="M85" s="1">
        <v>95.277277635550604</v>
      </c>
    </row>
    <row r="86" spans="1:13">
      <c r="A86" s="2"/>
      <c r="B86" s="1">
        <v>2.1968431443258885</v>
      </c>
      <c r="C86" s="1">
        <v>107.042773676029</v>
      </c>
      <c r="D86" s="1">
        <v>3.8968945368779209</v>
      </c>
      <c r="E86" s="1">
        <v>107.042773812261</v>
      </c>
      <c r="H86" s="24">
        <v>8.162396310446514</v>
      </c>
      <c r="I86" s="24">
        <v>134.91911251751799</v>
      </c>
      <c r="J86" s="1">
        <v>2.6134119022323863</v>
      </c>
      <c r="K86" s="1">
        <v>101.049598941372</v>
      </c>
      <c r="L86" s="1">
        <v>2.1968431443258885</v>
      </c>
      <c r="M86" s="1">
        <v>107.998447542346</v>
      </c>
    </row>
    <row r="87" spans="1:13">
      <c r="A87" s="2"/>
      <c r="H87" s="24">
        <v>10.848240950851141</v>
      </c>
      <c r="I87" s="24">
        <v>159.00181820919499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10B5-633F-4DCB-A027-CDE30C2170F6}">
  <dimension ref="A1:Z113"/>
  <sheetViews>
    <sheetView zoomScale="101" workbookViewId="0">
      <selection activeCell="H53" sqref="H53"/>
    </sheetView>
  </sheetViews>
  <sheetFormatPr defaultColWidth="8.7109375" defaultRowHeight="15"/>
  <cols>
    <col min="1" max="1" width="9.28515625" style="1" bestFit="1" customWidth="1"/>
    <col min="2" max="4" width="8.7109375" style="1" bestFit="1"/>
    <col min="5" max="5" width="9.42578125" style="1" bestFit="1" customWidth="1"/>
    <col min="6" max="7" width="8.7109375" style="1" bestFit="1"/>
    <col min="8" max="8" width="10.42578125" style="24" customWidth="1"/>
    <col min="9" max="9" width="8.7109375" style="24" bestFit="1"/>
    <col min="10" max="12" width="8.7109375" style="1" bestFit="1"/>
    <col min="13" max="13" width="12.7109375" style="1" customWidth="1"/>
    <col min="14" max="15" width="8.7109375" style="1" bestFit="1"/>
    <col min="16" max="16" width="14.140625" customWidth="1"/>
    <col min="17" max="17" width="15.140625" customWidth="1"/>
    <col min="18" max="18" width="13.28515625" style="23" customWidth="1"/>
    <col min="19" max="19" width="16.42578125" style="23" customWidth="1"/>
    <col min="20" max="20" width="16.42578125" customWidth="1"/>
  </cols>
  <sheetData>
    <row r="1" spans="1:26">
      <c r="A1" s="1" t="s">
        <v>48</v>
      </c>
      <c r="Y1" t="s">
        <v>44</v>
      </c>
      <c r="Z1" t="s">
        <v>45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4" t="s">
        <v>7</v>
      </c>
      <c r="I2" s="24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21</v>
      </c>
      <c r="Q2" s="1" t="s">
        <v>22</v>
      </c>
      <c r="R2" s="24" t="s">
        <v>23</v>
      </c>
      <c r="S2" s="24" t="s">
        <v>24</v>
      </c>
      <c r="T2" s="1" t="s">
        <v>46</v>
      </c>
      <c r="Y2">
        <f>69*69*33120*4*100/(1024*1024*1024)</f>
        <v>58.741986751556396</v>
      </c>
      <c r="Z2">
        <v>1</v>
      </c>
    </row>
    <row r="3" spans="1:26">
      <c r="A3" s="25">
        <v>0.01</v>
      </c>
      <c r="B3">
        <v>28.652898</v>
      </c>
      <c r="C3">
        <v>1.11681547883917</v>
      </c>
      <c r="D3">
        <v>46.748553686824202</v>
      </c>
      <c r="E3"/>
      <c r="F3">
        <v>51.73</v>
      </c>
      <c r="G3">
        <v>51.73</v>
      </c>
      <c r="H3">
        <v>55.023612097925202</v>
      </c>
      <c r="I3">
        <v>51.941085867591802</v>
      </c>
      <c r="J3">
        <v>1.6151</v>
      </c>
      <c r="K3">
        <v>242.628245185835</v>
      </c>
      <c r="L3">
        <v>159.28858645231301</v>
      </c>
      <c r="M3">
        <v>1.62</v>
      </c>
      <c r="N3">
        <v>321.61830947767498</v>
      </c>
      <c r="O3">
        <v>210.46769792363</v>
      </c>
      <c r="P3">
        <f t="shared" ref="P3:P9" si="0">B3*M3</f>
        <v>46.417694760000003</v>
      </c>
      <c r="Q3">
        <f t="shared" ref="Q3:Q9" si="1">C3/M3</f>
        <v>0.68939227088837651</v>
      </c>
      <c r="R3" s="23">
        <f t="shared" ref="R3:R9" si="2">1/(1/H3+1/(N3*B3))</f>
        <v>54.697021665914342</v>
      </c>
      <c r="S3" s="23">
        <f t="shared" ref="S3:S9" si="3">1/(1/I3+1/(O3*B3))</f>
        <v>51.497534971207287</v>
      </c>
      <c r="T3">
        <f>$Y$2/R3+$Y$2/S3+$Y$2/($Z$2*P3)</f>
        <v>3.4801363888484551</v>
      </c>
    </row>
    <row r="4" spans="1:26">
      <c r="A4" s="25">
        <v>5.0000000000000001E-3</v>
      </c>
      <c r="B4">
        <v>26.710139000000002</v>
      </c>
      <c r="C4">
        <v>1.1980469289208799</v>
      </c>
      <c r="D4">
        <v>52.340946532001396</v>
      </c>
      <c r="E4"/>
      <c r="F4">
        <v>51.34</v>
      </c>
      <c r="G4">
        <v>51.34</v>
      </c>
      <c r="H4">
        <v>54.976148095115001</v>
      </c>
      <c r="I4">
        <v>51.568557966231097</v>
      </c>
      <c r="J4">
        <v>1.331</v>
      </c>
      <c r="K4">
        <v>245.581002855913</v>
      </c>
      <c r="L4">
        <v>169.63025367148401</v>
      </c>
      <c r="M4">
        <v>1.33</v>
      </c>
      <c r="N4">
        <v>289.13011093623999</v>
      </c>
      <c r="O4">
        <v>227.643312302727</v>
      </c>
      <c r="P4">
        <f t="shared" si="0"/>
        <v>35.524484870000002</v>
      </c>
      <c r="Q4">
        <f t="shared" si="1"/>
        <v>0.90078716460216535</v>
      </c>
      <c r="R4" s="23">
        <f t="shared" si="2"/>
        <v>54.587551979369628</v>
      </c>
      <c r="S4" s="23">
        <f t="shared" si="3"/>
        <v>51.134876211088049</v>
      </c>
      <c r="T4">
        <f t="shared" ref="T4:T9" si="4">$Y$2/R4+$Y$2/S4+$Y$2/($Z$2*P4)</f>
        <v>3.8784348652822764</v>
      </c>
    </row>
    <row r="5" spans="1:26">
      <c r="A5" s="25">
        <v>1E-3</v>
      </c>
      <c r="B5">
        <v>20.973872</v>
      </c>
      <c r="C5">
        <v>1.5257077949174001</v>
      </c>
      <c r="D5">
        <v>65.626114698205299</v>
      </c>
      <c r="E5"/>
      <c r="F5">
        <v>47.74</v>
      </c>
      <c r="G5">
        <v>47.74</v>
      </c>
      <c r="H5">
        <v>54.483698852009901</v>
      </c>
      <c r="I5">
        <v>47.919986242482501</v>
      </c>
      <c r="J5">
        <v>1.1294999999999999</v>
      </c>
      <c r="K5">
        <v>239.457776191916</v>
      </c>
      <c r="L5">
        <v>178.963308952777</v>
      </c>
      <c r="M5">
        <v>1.1299999999999999</v>
      </c>
      <c r="N5">
        <v>220.01650453417801</v>
      </c>
      <c r="O5">
        <v>228.817164715545</v>
      </c>
      <c r="P5">
        <f t="shared" si="0"/>
        <v>23.700475359999999</v>
      </c>
      <c r="Q5">
        <f t="shared" si="1"/>
        <v>1.3501838893074338</v>
      </c>
      <c r="R5" s="23">
        <f t="shared" si="2"/>
        <v>53.847926417616357</v>
      </c>
      <c r="S5" s="23">
        <f t="shared" si="3"/>
        <v>47.44623406562858</v>
      </c>
      <c r="T5">
        <f t="shared" si="4"/>
        <v>4.8074766293082121</v>
      </c>
    </row>
    <row r="6" spans="1:26">
      <c r="A6" s="25">
        <v>5.0000000000000001E-4</v>
      </c>
      <c r="B6">
        <v>19.211341000000001</v>
      </c>
      <c r="C6">
        <v>1.6656827860168599</v>
      </c>
      <c r="D6">
        <v>71.443469619923604</v>
      </c>
      <c r="E6"/>
      <c r="F6">
        <v>45.16</v>
      </c>
      <c r="G6">
        <v>45.16</v>
      </c>
      <c r="H6">
        <v>54.1249848213359</v>
      </c>
      <c r="I6">
        <v>45.3341701824205</v>
      </c>
      <c r="J6">
        <v>1.0924</v>
      </c>
      <c r="K6">
        <v>227.93870636817499</v>
      </c>
      <c r="L6">
        <v>208.01482925313201</v>
      </c>
      <c r="M6">
        <v>1.0900000000000001</v>
      </c>
      <c r="N6">
        <v>213.284811046279</v>
      </c>
      <c r="O6">
        <v>236.28155752662599</v>
      </c>
      <c r="P6">
        <f t="shared" si="0"/>
        <v>20.940361690000003</v>
      </c>
      <c r="Q6">
        <f t="shared" si="1"/>
        <v>1.5281493449695962</v>
      </c>
      <c r="R6" s="23">
        <f t="shared" si="2"/>
        <v>53.419351966747243</v>
      </c>
      <c r="S6" s="23">
        <f t="shared" si="3"/>
        <v>44.885891568061879</v>
      </c>
      <c r="T6">
        <f t="shared" si="4"/>
        <v>5.2135387180188708</v>
      </c>
    </row>
    <row r="7" spans="1:26">
      <c r="A7" s="25">
        <v>1E-4</v>
      </c>
      <c r="B7">
        <v>14.845336</v>
      </c>
      <c r="C7">
        <v>2.1555591601294801</v>
      </c>
      <c r="D7">
        <v>85.096938408232305</v>
      </c>
      <c r="E7"/>
      <c r="F7">
        <v>41.26</v>
      </c>
      <c r="G7">
        <v>41.26</v>
      </c>
      <c r="H7">
        <v>53.304554401207803</v>
      </c>
      <c r="I7">
        <v>41.405692456867101</v>
      </c>
      <c r="J7">
        <v>1.034</v>
      </c>
      <c r="K7">
        <v>226.18149208773099</v>
      </c>
      <c r="L7">
        <v>216.93587827527301</v>
      </c>
      <c r="M7">
        <v>1.03</v>
      </c>
      <c r="N7">
        <v>204.75821936097</v>
      </c>
      <c r="O7">
        <v>254.012602202431</v>
      </c>
      <c r="P7">
        <f t="shared" si="0"/>
        <v>15.29069608</v>
      </c>
      <c r="Q7">
        <f t="shared" si="1"/>
        <v>2.0927758836208543</v>
      </c>
      <c r="R7" s="23">
        <f t="shared" si="2"/>
        <v>52.385909996984267</v>
      </c>
      <c r="S7" s="23">
        <f t="shared" si="3"/>
        <v>40.95598290724682</v>
      </c>
      <c r="T7">
        <f t="shared" si="4"/>
        <v>6.3972846634260385</v>
      </c>
    </row>
    <row r="8" spans="1:26">
      <c r="A8" s="25">
        <v>5.0000000000000002E-5</v>
      </c>
      <c r="B8">
        <v>12.715487</v>
      </c>
      <c r="C8">
        <v>2.5166161547725201</v>
      </c>
      <c r="D8">
        <v>91.000348181682298</v>
      </c>
      <c r="E8"/>
      <c r="F8">
        <v>39.32</v>
      </c>
      <c r="G8">
        <v>39.32</v>
      </c>
      <c r="H8">
        <v>52.603891187557899</v>
      </c>
      <c r="I8">
        <v>39.449413044659202</v>
      </c>
      <c r="J8">
        <v>1.018</v>
      </c>
      <c r="K8">
        <v>221.75967740650199</v>
      </c>
      <c r="L8">
        <v>192.93770806587</v>
      </c>
      <c r="M8">
        <v>1.02</v>
      </c>
      <c r="N8">
        <v>194.01375715311599</v>
      </c>
      <c r="O8">
        <v>251.55158893868199</v>
      </c>
      <c r="P8">
        <f t="shared" si="0"/>
        <v>12.96979674</v>
      </c>
      <c r="Q8">
        <f t="shared" si="1"/>
        <v>2.4672707399730589</v>
      </c>
      <c r="R8" s="23">
        <f t="shared" si="2"/>
        <v>51.505626498245569</v>
      </c>
      <c r="S8" s="23">
        <f t="shared" si="3"/>
        <v>38.968797856268708</v>
      </c>
      <c r="T8">
        <f t="shared" si="4"/>
        <v>7.1770443350000139</v>
      </c>
    </row>
    <row r="9" spans="1:26">
      <c r="A9" s="25">
        <v>1.0000000000000001E-5</v>
      </c>
      <c r="B9">
        <v>8.2868090999999993</v>
      </c>
      <c r="C9">
        <v>3.86155872711005</v>
      </c>
      <c r="D9">
        <v>104.825866657969</v>
      </c>
      <c r="E9"/>
      <c r="F9">
        <v>36.75</v>
      </c>
      <c r="G9">
        <v>36.75</v>
      </c>
      <c r="H9">
        <v>50.599547971604203</v>
      </c>
      <c r="I9">
        <v>36.988713504117698</v>
      </c>
      <c r="J9">
        <v>1.0025999999999999</v>
      </c>
      <c r="K9">
        <v>228.23939516427399</v>
      </c>
      <c r="L9">
        <v>205.871640125608</v>
      </c>
      <c r="M9">
        <v>1</v>
      </c>
      <c r="N9">
        <v>191.574310701152</v>
      </c>
      <c r="O9">
        <v>253.36565016309299</v>
      </c>
      <c r="P9">
        <f t="shared" si="0"/>
        <v>8.2868090999999993</v>
      </c>
      <c r="Q9">
        <f t="shared" si="1"/>
        <v>3.86155872711005</v>
      </c>
      <c r="R9" s="23">
        <f t="shared" si="2"/>
        <v>49.036607462341529</v>
      </c>
      <c r="S9" s="23">
        <f t="shared" si="3"/>
        <v>36.348361177845263</v>
      </c>
      <c r="T9">
        <f t="shared" si="4"/>
        <v>9.9026180871329927</v>
      </c>
    </row>
    <row r="10" spans="1:26">
      <c r="A10" s="2"/>
    </row>
    <row r="11" spans="1:26">
      <c r="A11" s="2" t="s">
        <v>49</v>
      </c>
    </row>
    <row r="12" spans="1:26" ht="13.5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24" t="s">
        <v>7</v>
      </c>
      <c r="I12" s="24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21</v>
      </c>
      <c r="Q12" s="1" t="s">
        <v>22</v>
      </c>
      <c r="R12" s="24" t="s">
        <v>23</v>
      </c>
      <c r="S12" s="24" t="s">
        <v>24</v>
      </c>
      <c r="T12" s="1" t="s">
        <v>46</v>
      </c>
    </row>
    <row r="13" spans="1:26">
      <c r="A13" s="25">
        <v>0.01</v>
      </c>
      <c r="B13">
        <v>29.3667769999999</v>
      </c>
      <c r="C13">
        <v>1.08966673462327</v>
      </c>
      <c r="D13">
        <v>59.281594174624502</v>
      </c>
      <c r="E13"/>
      <c r="F13">
        <v>43.98</v>
      </c>
      <c r="G13">
        <v>43.98</v>
      </c>
      <c r="H13">
        <v>37.002821638420102</v>
      </c>
      <c r="I13">
        <v>40.458167082319697</v>
      </c>
      <c r="J13">
        <v>5.7999000000000001</v>
      </c>
      <c r="K13">
        <v>253.73728676780399</v>
      </c>
      <c r="L13">
        <v>161.835530159922</v>
      </c>
      <c r="M13">
        <v>5.82</v>
      </c>
      <c r="N13">
        <v>372.96523582499901</v>
      </c>
      <c r="O13">
        <v>256.707069054123</v>
      </c>
      <c r="P13">
        <f t="shared" ref="P13:P19" si="5">B13*M13</f>
        <v>170.91464213999942</v>
      </c>
      <c r="Q13">
        <f t="shared" ref="Q13:Q19" si="6">C13/M13</f>
        <v>0.18722796127547595</v>
      </c>
      <c r="R13" s="23">
        <f t="shared" ref="R13:R19" si="7">1/(1/H13+1/(N13*B13))</f>
        <v>36.878232465857543</v>
      </c>
      <c r="S13" s="23">
        <f t="shared" ref="S13:S19" si="8">1/(1/I13+1/(O13*B13))</f>
        <v>40.242196911478345</v>
      </c>
      <c r="T13">
        <f>$Y$2/R13+$Y$2/S13+$Y$2/($Z$2*P13)</f>
        <v>3.3962665806489158</v>
      </c>
    </row>
    <row r="14" spans="1:26">
      <c r="A14" s="25">
        <v>5.0000000000000001E-3</v>
      </c>
      <c r="B14">
        <v>29.119593999999999</v>
      </c>
      <c r="C14">
        <v>1.0989164203319499</v>
      </c>
      <c r="D14">
        <v>62.878544847709598</v>
      </c>
      <c r="E14"/>
      <c r="F14">
        <v>44.33</v>
      </c>
      <c r="G14">
        <v>44.33</v>
      </c>
      <c r="H14">
        <v>36.996850871806501</v>
      </c>
      <c r="I14">
        <v>40.747054532272401</v>
      </c>
      <c r="J14">
        <v>4.6711999999999998</v>
      </c>
      <c r="K14">
        <v>250.25638663426599</v>
      </c>
      <c r="L14">
        <v>171.02292280666799</v>
      </c>
      <c r="M14">
        <v>4.68</v>
      </c>
      <c r="N14">
        <v>368.65253680217302</v>
      </c>
      <c r="O14">
        <v>243.77255913832701</v>
      </c>
      <c r="P14">
        <f t="shared" si="5"/>
        <v>136.27969991999998</v>
      </c>
      <c r="Q14">
        <f t="shared" si="6"/>
        <v>0.23481120092563035</v>
      </c>
      <c r="R14" s="23">
        <f t="shared" si="7"/>
        <v>36.869783862474677</v>
      </c>
      <c r="S14" s="23">
        <f t="shared" si="8"/>
        <v>40.514493736523022</v>
      </c>
      <c r="T14">
        <f t="shared" ref="T14:T19" si="9">$Y$2/R14+$Y$2/S14+$Y$2/($Z$2*P14)</f>
        <v>3.4741688391840837</v>
      </c>
    </row>
    <row r="15" spans="1:26">
      <c r="A15" s="25">
        <v>1E-3</v>
      </c>
      <c r="B15">
        <v>27.777629000000001</v>
      </c>
      <c r="C15">
        <v>1.1520061701450399</v>
      </c>
      <c r="D15">
        <v>73.306080145578505</v>
      </c>
      <c r="E15"/>
      <c r="F15">
        <v>42.53</v>
      </c>
      <c r="G15">
        <v>42.53</v>
      </c>
      <c r="H15">
        <v>36.948744974949598</v>
      </c>
      <c r="I15">
        <v>39.206530414736399</v>
      </c>
      <c r="J15">
        <v>2.8618000000000001</v>
      </c>
      <c r="K15">
        <v>251.369680666557</v>
      </c>
      <c r="L15">
        <v>169.840204759491</v>
      </c>
      <c r="M15">
        <v>2.87</v>
      </c>
      <c r="N15">
        <v>356.82491344159399</v>
      </c>
      <c r="O15">
        <v>226.62682043355201</v>
      </c>
      <c r="P15">
        <f t="shared" si="5"/>
        <v>79.721795230000012</v>
      </c>
      <c r="Q15">
        <f t="shared" si="6"/>
        <v>0.40139587809931704</v>
      </c>
      <c r="R15" s="23">
        <f t="shared" si="7"/>
        <v>36.811520019053283</v>
      </c>
      <c r="S15" s="23">
        <f t="shared" si="8"/>
        <v>38.963861624781984</v>
      </c>
      <c r="T15">
        <f t="shared" si="9"/>
        <v>3.8401890997949897</v>
      </c>
    </row>
    <row r="16" spans="1:26">
      <c r="A16" s="25">
        <v>5.0000000000000001E-4</v>
      </c>
      <c r="B16">
        <v>26.815287000000001</v>
      </c>
      <c r="C16">
        <v>1.1933491519221799</v>
      </c>
      <c r="D16">
        <v>77.512626785922095</v>
      </c>
      <c r="E16"/>
      <c r="F16">
        <v>41.98</v>
      </c>
      <c r="G16">
        <v>41.98</v>
      </c>
      <c r="H16">
        <v>36.964739229982897</v>
      </c>
      <c r="I16">
        <v>38.745581058331297</v>
      </c>
      <c r="J16">
        <v>2.3849999999999998</v>
      </c>
      <c r="K16">
        <v>258.08231893733699</v>
      </c>
      <c r="L16">
        <v>168.03194219914701</v>
      </c>
      <c r="M16">
        <v>2.39</v>
      </c>
      <c r="N16">
        <v>360.29862290395801</v>
      </c>
      <c r="O16">
        <v>225.70403239911201</v>
      </c>
      <c r="P16">
        <f t="shared" si="5"/>
        <v>64.088535930000006</v>
      </c>
      <c r="Q16">
        <f t="shared" si="6"/>
        <v>0.49930926858668612</v>
      </c>
      <c r="R16" s="23">
        <f t="shared" si="7"/>
        <v>36.823851941500038</v>
      </c>
      <c r="S16" s="23">
        <f t="shared" si="8"/>
        <v>38.499118362359468</v>
      </c>
      <c r="T16">
        <f t="shared" si="9"/>
        <v>4.0375921062577715</v>
      </c>
    </row>
    <row r="17" spans="1:20">
      <c r="A17" s="25">
        <v>1E-4</v>
      </c>
      <c r="B17">
        <v>22.636255999999999</v>
      </c>
      <c r="C17">
        <v>1.41366134046195</v>
      </c>
      <c r="D17">
        <v>88.824634169360294</v>
      </c>
      <c r="E17"/>
      <c r="F17">
        <v>39.36</v>
      </c>
      <c r="G17">
        <v>39.36</v>
      </c>
      <c r="H17">
        <v>36.779812054602303</v>
      </c>
      <c r="I17">
        <v>36.509010597358497</v>
      </c>
      <c r="J17">
        <v>1.5307999999999999</v>
      </c>
      <c r="K17">
        <v>257.64763545096201</v>
      </c>
      <c r="L17">
        <v>161.18960865651701</v>
      </c>
      <c r="M17">
        <v>1.53</v>
      </c>
      <c r="N17">
        <v>314.80976643098103</v>
      </c>
      <c r="O17">
        <v>228.88591748272199</v>
      </c>
      <c r="P17">
        <f t="shared" si="5"/>
        <v>34.63347168</v>
      </c>
      <c r="Q17">
        <f t="shared" si="6"/>
        <v>0.92396166043264705</v>
      </c>
      <c r="R17" s="23">
        <f t="shared" si="7"/>
        <v>36.590956192349758</v>
      </c>
      <c r="S17" s="23">
        <f t="shared" si="8"/>
        <v>36.25354824172922</v>
      </c>
      <c r="T17">
        <f t="shared" si="9"/>
        <v>4.9217834880025313</v>
      </c>
    </row>
    <row r="18" spans="1:20">
      <c r="A18" s="25">
        <v>5.0000000000000002E-5</v>
      </c>
      <c r="B18">
        <v>20.001971000000001</v>
      </c>
      <c r="C18">
        <v>1.59984233553783</v>
      </c>
      <c r="D18">
        <v>93.416352109354804</v>
      </c>
      <c r="E18"/>
      <c r="F18">
        <v>37.96</v>
      </c>
      <c r="G18">
        <v>37.96</v>
      </c>
      <c r="H18">
        <v>36.700832201995603</v>
      </c>
      <c r="I18">
        <v>35.316197667846403</v>
      </c>
      <c r="J18">
        <v>1.2990999999999999</v>
      </c>
      <c r="K18">
        <v>268.78110951097301</v>
      </c>
      <c r="L18">
        <v>143.09637899171599</v>
      </c>
      <c r="M18">
        <v>1.3</v>
      </c>
      <c r="N18">
        <v>293.58704364210399</v>
      </c>
      <c r="O18">
        <v>238.31359416395699</v>
      </c>
      <c r="P18">
        <f t="shared" si="5"/>
        <v>26.002562300000001</v>
      </c>
      <c r="Q18">
        <f t="shared" si="6"/>
        <v>1.2306479504137153</v>
      </c>
      <c r="R18" s="23">
        <f t="shared" si="7"/>
        <v>36.472883912584919</v>
      </c>
      <c r="S18" s="23">
        <f t="shared" si="8"/>
        <v>35.056468636995731</v>
      </c>
      <c r="T18">
        <f t="shared" si="9"/>
        <v>5.5452895699697766</v>
      </c>
    </row>
    <row r="19" spans="1:20">
      <c r="A19" s="25">
        <v>1.0000000000000001E-5</v>
      </c>
      <c r="B19">
        <v>12.47064</v>
      </c>
      <c r="C19">
        <v>2.5660270844158699</v>
      </c>
      <c r="D19">
        <v>105.671699630794</v>
      </c>
      <c r="E19"/>
      <c r="F19">
        <v>35.65</v>
      </c>
      <c r="G19">
        <v>35.65</v>
      </c>
      <c r="H19">
        <v>36.073296415167803</v>
      </c>
      <c r="I19">
        <v>33.399276242465099</v>
      </c>
      <c r="J19">
        <v>1.0657000000000001</v>
      </c>
      <c r="K19">
        <v>234.41353510427601</v>
      </c>
      <c r="L19">
        <v>185.788010891993</v>
      </c>
      <c r="M19">
        <v>1.07</v>
      </c>
      <c r="N19">
        <v>233.72496271914699</v>
      </c>
      <c r="O19">
        <v>245.82488929233199</v>
      </c>
      <c r="P19">
        <f t="shared" si="5"/>
        <v>13.3435848</v>
      </c>
      <c r="Q19">
        <f t="shared" si="6"/>
        <v>2.3981561536596914</v>
      </c>
      <c r="R19" s="23">
        <f t="shared" si="7"/>
        <v>35.632299211630993</v>
      </c>
      <c r="S19" s="23">
        <f t="shared" si="8"/>
        <v>33.039316841780263</v>
      </c>
      <c r="T19">
        <f t="shared" si="9"/>
        <v>7.8287663114512984</v>
      </c>
    </row>
    <row r="20" spans="1:20">
      <c r="A20" s="2"/>
    </row>
    <row r="21" spans="1:20">
      <c r="A21" s="2"/>
    </row>
    <row r="22" spans="1:20">
      <c r="A22" s="2" t="s">
        <v>50</v>
      </c>
      <c r="E22" s="2"/>
    </row>
    <row r="23" spans="1:20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24" t="s">
        <v>7</v>
      </c>
      <c r="I23" s="24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21</v>
      </c>
      <c r="Q23" s="1" t="s">
        <v>22</v>
      </c>
      <c r="R23" s="24" t="s">
        <v>23</v>
      </c>
      <c r="S23" s="24" t="s">
        <v>24</v>
      </c>
      <c r="T23" s="1" t="s">
        <v>46</v>
      </c>
    </row>
    <row r="24" spans="1:20">
      <c r="A24" s="25">
        <v>0.01</v>
      </c>
      <c r="B24">
        <v>22.214991999999999</v>
      </c>
      <c r="C24">
        <v>1.44046867088675</v>
      </c>
      <c r="D24">
        <v>46.748553686824103</v>
      </c>
      <c r="E24"/>
      <c r="F24">
        <v>88.592346000000006</v>
      </c>
      <c r="G24">
        <v>211.38289399999999</v>
      </c>
      <c r="H24">
        <v>92.449783282399807</v>
      </c>
      <c r="I24">
        <v>220.493683266906</v>
      </c>
      <c r="J24">
        <v>1.7362</v>
      </c>
      <c r="K24">
        <v>267.50529718857001</v>
      </c>
      <c r="L24">
        <v>166.53019724246201</v>
      </c>
      <c r="M24">
        <v>1.74</v>
      </c>
      <c r="N24">
        <v>322.906585367319</v>
      </c>
      <c r="O24">
        <v>216.031710273154</v>
      </c>
      <c r="P24">
        <f t="shared" ref="P24:P30" si="10">B24*M24</f>
        <v>38.654086079999999</v>
      </c>
      <c r="Q24">
        <f t="shared" ref="Q24:Q30" si="11">C24/M24</f>
        <v>0.82785555798089083</v>
      </c>
      <c r="R24" s="23">
        <f t="shared" ref="R24:R30" si="12">1/(1/H24+1/(N24*B24))</f>
        <v>91.273458247505289</v>
      </c>
      <c r="S24" s="23">
        <f t="shared" ref="S24:S30" si="13">1/(1/I24+1/(O24*B24))</f>
        <v>210.80822788752945</v>
      </c>
      <c r="T24">
        <f>$Y$2/R24+$Y$2/S24+$Y$2/($Z$2*P24)</f>
        <v>2.4419174068473803</v>
      </c>
    </row>
    <row r="25" spans="1:20">
      <c r="A25" s="25">
        <v>5.0000000000000001E-3</v>
      </c>
      <c r="B25">
        <v>16.758023999999999</v>
      </c>
      <c r="C25">
        <v>1.9095330093810501</v>
      </c>
      <c r="D25">
        <v>52.340946532001396</v>
      </c>
      <c r="E25"/>
      <c r="F25">
        <v>86.183678999999998</v>
      </c>
      <c r="G25">
        <v>164.77704499999999</v>
      </c>
      <c r="H25">
        <v>90.038627704378499</v>
      </c>
      <c r="I25">
        <v>169.17581205115499</v>
      </c>
      <c r="J25">
        <v>1.4746999999999999</v>
      </c>
      <c r="K25">
        <v>258.80679303793198</v>
      </c>
      <c r="L25">
        <v>146.60077185949501</v>
      </c>
      <c r="M25">
        <v>1.48</v>
      </c>
      <c r="N25">
        <v>305.29495506632702</v>
      </c>
      <c r="O25">
        <v>215.672592927111</v>
      </c>
      <c r="P25">
        <f t="shared" si="10"/>
        <v>24.801875519999999</v>
      </c>
      <c r="Q25">
        <f t="shared" si="11"/>
        <v>1.2902250063385474</v>
      </c>
      <c r="R25" s="23">
        <f t="shared" si="12"/>
        <v>88.481448288923815</v>
      </c>
      <c r="S25" s="23">
        <f t="shared" si="13"/>
        <v>161.61111186433121</v>
      </c>
      <c r="T25">
        <f t="shared" ref="T25:T30" si="14">$Y$2/R25+$Y$2/S25+$Y$2/($Z$2*P25)</f>
        <v>3.3958172121520649</v>
      </c>
    </row>
    <row r="26" spans="1:20">
      <c r="A26" s="25">
        <v>1E-3</v>
      </c>
      <c r="B26">
        <v>10.075348</v>
      </c>
      <c r="C26">
        <v>3.1760689556330899</v>
      </c>
      <c r="D26">
        <v>65.626114698205299</v>
      </c>
      <c r="E26"/>
      <c r="F26">
        <v>79.547010999999998</v>
      </c>
      <c r="G26">
        <v>145.604817</v>
      </c>
      <c r="H26">
        <v>82.485241414588302</v>
      </c>
      <c r="I26">
        <v>148.59681878873201</v>
      </c>
      <c r="J26">
        <v>1.1387</v>
      </c>
      <c r="K26">
        <v>257.79284518803598</v>
      </c>
      <c r="L26">
        <v>175.71106253751</v>
      </c>
      <c r="M26">
        <v>1.1399999999999999</v>
      </c>
      <c r="N26">
        <v>274.51414958952603</v>
      </c>
      <c r="O26">
        <v>248.357582908723</v>
      </c>
      <c r="P26">
        <f t="shared" si="10"/>
        <v>11.48589672</v>
      </c>
      <c r="Q26">
        <f t="shared" si="11"/>
        <v>2.7860253996781492</v>
      </c>
      <c r="R26" s="23">
        <f t="shared" si="12"/>
        <v>80.096522114409524</v>
      </c>
      <c r="S26" s="23">
        <f t="shared" si="13"/>
        <v>140.26714507644397</v>
      </c>
      <c r="T26">
        <f t="shared" si="14"/>
        <v>6.2664473274185575</v>
      </c>
    </row>
    <row r="27" spans="1:20">
      <c r="A27" s="25">
        <v>5.0000000000000001E-4</v>
      </c>
      <c r="B27">
        <v>8.2490269999999999</v>
      </c>
      <c r="C27">
        <v>3.87924539463866</v>
      </c>
      <c r="D27">
        <v>71.443469619923604</v>
      </c>
      <c r="E27"/>
      <c r="F27">
        <v>75.663393999999997</v>
      </c>
      <c r="G27">
        <v>138.286599</v>
      </c>
      <c r="H27">
        <v>78.247809666997199</v>
      </c>
      <c r="I27">
        <v>141.194989241412</v>
      </c>
      <c r="J27">
        <v>1.0899000000000001</v>
      </c>
      <c r="K27">
        <v>250.13455598403101</v>
      </c>
      <c r="L27">
        <v>202.93876494905601</v>
      </c>
      <c r="M27">
        <v>1.0900000000000001</v>
      </c>
      <c r="N27">
        <v>247.974394063077</v>
      </c>
      <c r="O27">
        <v>259.33125539193799</v>
      </c>
      <c r="P27">
        <f t="shared" si="10"/>
        <v>8.9914394299999998</v>
      </c>
      <c r="Q27">
        <f t="shared" si="11"/>
        <v>3.5589407290262933</v>
      </c>
      <c r="R27" s="23">
        <f t="shared" si="12"/>
        <v>75.36489539991949</v>
      </c>
      <c r="S27" s="23">
        <f t="shared" si="13"/>
        <v>132.45275019917122</v>
      </c>
      <c r="T27">
        <f t="shared" si="14"/>
        <v>7.7560297660636657</v>
      </c>
    </row>
    <row r="28" spans="1:20">
      <c r="A28" s="25">
        <v>1E-4</v>
      </c>
      <c r="B28">
        <v>5.5610619999999997</v>
      </c>
      <c r="C28">
        <v>5.7542965714102801</v>
      </c>
      <c r="D28">
        <v>85.096938982675596</v>
      </c>
      <c r="E28"/>
      <c r="F28">
        <v>66.207500999999993</v>
      </c>
      <c r="G28">
        <v>124.192712</v>
      </c>
      <c r="H28">
        <v>68.0181094714751</v>
      </c>
      <c r="I28">
        <v>126.087909861046</v>
      </c>
      <c r="J28">
        <v>1.0449999999999999</v>
      </c>
      <c r="K28">
        <v>243.217356983424</v>
      </c>
      <c r="L28">
        <v>218.05684552158601</v>
      </c>
      <c r="M28">
        <v>1.05</v>
      </c>
      <c r="N28">
        <v>215.593461938715</v>
      </c>
      <c r="O28">
        <v>253.100846659306</v>
      </c>
      <c r="P28">
        <f t="shared" si="10"/>
        <v>5.8391150999999999</v>
      </c>
      <c r="Q28">
        <f t="shared" si="11"/>
        <v>5.4802824489621713</v>
      </c>
      <c r="R28" s="23">
        <f t="shared" si="12"/>
        <v>64.366445869563691</v>
      </c>
      <c r="S28" s="23">
        <f t="shared" si="13"/>
        <v>115.72132935858781</v>
      </c>
      <c r="T28">
        <f t="shared" si="14"/>
        <v>11.480317769116349</v>
      </c>
    </row>
    <row r="29" spans="1:20">
      <c r="A29" s="25">
        <v>5.0000000000000002E-5</v>
      </c>
      <c r="B29">
        <v>4.821637</v>
      </c>
      <c r="C29">
        <v>6.6367501327868501</v>
      </c>
      <c r="D29">
        <v>91.000348615698101</v>
      </c>
      <c r="E29"/>
      <c r="F29">
        <v>62.787042</v>
      </c>
      <c r="G29">
        <v>118.303219</v>
      </c>
      <c r="H29">
        <v>64.232881295839704</v>
      </c>
      <c r="I29">
        <v>119.78778000324699</v>
      </c>
      <c r="J29">
        <v>1.0355000000000001</v>
      </c>
      <c r="K29">
        <v>241.12784671511599</v>
      </c>
      <c r="L29">
        <v>227.06954785830101</v>
      </c>
      <c r="M29">
        <v>1.04</v>
      </c>
      <c r="N29">
        <v>212.83354521204899</v>
      </c>
      <c r="O29">
        <v>255.47996635694199</v>
      </c>
      <c r="P29">
        <f t="shared" si="10"/>
        <v>5.01450248</v>
      </c>
      <c r="Q29">
        <f t="shared" si="11"/>
        <v>6.3814905122950476</v>
      </c>
      <c r="R29" s="23">
        <f t="shared" si="12"/>
        <v>60.449209651829904</v>
      </c>
      <c r="S29" s="23">
        <f t="shared" si="13"/>
        <v>109.17154304418524</v>
      </c>
      <c r="T29">
        <f t="shared" si="14"/>
        <v>13.224247952763086</v>
      </c>
    </row>
    <row r="30" spans="1:20">
      <c r="A30" s="25">
        <v>1.0000000000000001E-5</v>
      </c>
      <c r="B30">
        <v>3.6405080000000001</v>
      </c>
      <c r="C30">
        <v>8.7899820574491194</v>
      </c>
      <c r="D30">
        <v>104.825868524358</v>
      </c>
      <c r="E30"/>
      <c r="F30">
        <v>55.417783</v>
      </c>
      <c r="G30">
        <v>108.4482</v>
      </c>
      <c r="H30">
        <v>56.398740347413103</v>
      </c>
      <c r="I30">
        <v>109.379723523994</v>
      </c>
      <c r="J30">
        <v>1.0228999999999999</v>
      </c>
      <c r="K30">
        <v>241.67185710426699</v>
      </c>
      <c r="L30">
        <v>246.064899151948</v>
      </c>
      <c r="M30">
        <v>1.02</v>
      </c>
      <c r="N30">
        <v>207.16352926181901</v>
      </c>
      <c r="O30">
        <v>257.72350912831502</v>
      </c>
      <c r="P30">
        <f t="shared" si="10"/>
        <v>3.71331816</v>
      </c>
      <c r="Q30">
        <f t="shared" si="11"/>
        <v>8.6176294680873724</v>
      </c>
      <c r="R30" s="23">
        <f t="shared" si="12"/>
        <v>52.474610773141649</v>
      </c>
      <c r="S30" s="23">
        <f t="shared" si="13"/>
        <v>97.95967071647938</v>
      </c>
      <c r="T30">
        <f t="shared" si="14"/>
        <v>17.538362276381587</v>
      </c>
    </row>
    <row r="31" spans="1:20">
      <c r="A31" s="2"/>
    </row>
    <row r="32" spans="1:20">
      <c r="A32" s="2"/>
    </row>
    <row r="33" spans="1:20">
      <c r="A33" s="2" t="s">
        <v>51</v>
      </c>
      <c r="E33" s="2"/>
    </row>
    <row r="34" spans="1:20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24" t="s">
        <v>7</v>
      </c>
      <c r="I34" s="24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21</v>
      </c>
      <c r="Q34" s="1" t="s">
        <v>22</v>
      </c>
      <c r="R34" s="24" t="s">
        <v>23</v>
      </c>
      <c r="S34" s="24" t="s">
        <v>24</v>
      </c>
      <c r="T34" s="1" t="s">
        <v>46</v>
      </c>
    </row>
    <row r="35" spans="1:20">
      <c r="A35" s="25">
        <v>0.01</v>
      </c>
      <c r="B35">
        <v>3.2915070000000002</v>
      </c>
      <c r="C35">
        <v>9.7219905654157799</v>
      </c>
      <c r="D35">
        <v>85.008990499339902</v>
      </c>
      <c r="E35"/>
      <c r="F35"/>
      <c r="G35"/>
      <c r="H35">
        <v>155.59876148093099</v>
      </c>
      <c r="I35">
        <v>171.862106393956</v>
      </c>
      <c r="J35">
        <v>1.0122</v>
      </c>
      <c r="K35">
        <v>257.11759877557699</v>
      </c>
      <c r="L35">
        <v>168.08094817027199</v>
      </c>
      <c r="M35">
        <v>1.01</v>
      </c>
      <c r="N35">
        <v>263.35215077313302</v>
      </c>
      <c r="O35">
        <v>213.580271293815</v>
      </c>
      <c r="P35">
        <f t="shared" ref="P35:P41" si="15">B35*M35</f>
        <v>3.3244220700000002</v>
      </c>
      <c r="Q35">
        <f t="shared" ref="Q35:Q41" si="16">C35/M35</f>
        <v>9.6257332330849312</v>
      </c>
      <c r="R35" s="23">
        <f t="shared" ref="R35:R41" si="17">1/(1/H35+1/(N35*B35))</f>
        <v>131.91879150743966</v>
      </c>
      <c r="S35" s="23">
        <f t="shared" ref="S35:S41" si="18">1/(1/I35+1/(O35*B35))</f>
        <v>138.10072725313273</v>
      </c>
      <c r="T35">
        <f>$Y$2/R35+$Y$2/S35+$Y$2/($Z$2*P35)</f>
        <v>18.540479289121599</v>
      </c>
    </row>
    <row r="36" spans="1:20">
      <c r="A36" s="25">
        <v>5.0000000000000001E-3</v>
      </c>
      <c r="B36">
        <v>2.9988769999999998</v>
      </c>
      <c r="C36">
        <v>10.670661050786601</v>
      </c>
      <c r="D36">
        <v>91.052597133513302</v>
      </c>
      <c r="E36"/>
      <c r="F36"/>
      <c r="G36"/>
      <c r="H36">
        <v>151.61855659461901</v>
      </c>
      <c r="I36">
        <v>160.146266206099</v>
      </c>
      <c r="J36">
        <v>1.0096000000000001</v>
      </c>
      <c r="K36">
        <v>249.82520253172299</v>
      </c>
      <c r="L36">
        <v>200.38346508468899</v>
      </c>
      <c r="M36">
        <v>1.01</v>
      </c>
      <c r="N36">
        <v>238.47664527824301</v>
      </c>
      <c r="O36">
        <v>237.966745509443</v>
      </c>
      <c r="P36">
        <f t="shared" si="15"/>
        <v>3.0288657699999999</v>
      </c>
      <c r="Q36">
        <f t="shared" si="16"/>
        <v>10.565010941372872</v>
      </c>
      <c r="R36" s="23">
        <f t="shared" si="17"/>
        <v>125.09721486361072</v>
      </c>
      <c r="S36" s="23">
        <f t="shared" si="18"/>
        <v>130.79465811080064</v>
      </c>
      <c r="T36">
        <f t="shared" ref="T36:T41" si="19">$Y$2/R36+$Y$2/S36+$Y$2/($Z$2*P36)</f>
        <v>20.312740948380569</v>
      </c>
    </row>
    <row r="37" spans="1:20">
      <c r="A37" s="25">
        <v>1E-3</v>
      </c>
      <c r="B37">
        <v>2.4740929999999999</v>
      </c>
      <c r="C37">
        <v>12.9340327950485</v>
      </c>
      <c r="D37">
        <v>103.64231508078301</v>
      </c>
      <c r="E37"/>
      <c r="F37"/>
      <c r="G37"/>
      <c r="H37">
        <v>144.07860812006899</v>
      </c>
      <c r="I37">
        <v>141.651539236574</v>
      </c>
      <c r="J37">
        <v>1.0067999999999999</v>
      </c>
      <c r="K37">
        <v>239.96491889105499</v>
      </c>
      <c r="L37">
        <v>224.66259191795501</v>
      </c>
      <c r="M37">
        <v>1.01</v>
      </c>
      <c r="N37">
        <v>209.492354721456</v>
      </c>
      <c r="O37">
        <v>251.29880738979699</v>
      </c>
      <c r="P37">
        <f t="shared" si="15"/>
        <v>2.49883393</v>
      </c>
      <c r="Q37">
        <f t="shared" si="16"/>
        <v>12.805973064404455</v>
      </c>
      <c r="R37" s="23">
        <f t="shared" si="17"/>
        <v>112.73923025845518</v>
      </c>
      <c r="S37" s="23">
        <f t="shared" si="18"/>
        <v>115.36719316940147</v>
      </c>
      <c r="T37">
        <f t="shared" si="19"/>
        <v>24.537976477813636</v>
      </c>
    </row>
    <row r="38" spans="1:20">
      <c r="A38" s="25">
        <v>5.0000000000000001E-4</v>
      </c>
      <c r="B38">
        <v>2.2655349999999999</v>
      </c>
      <c r="C38">
        <v>14.124699022526601</v>
      </c>
      <c r="D38">
        <v>109.817999808235</v>
      </c>
      <c r="E38"/>
      <c r="F38"/>
      <c r="G38"/>
      <c r="H38">
        <v>142.125354851482</v>
      </c>
      <c r="I38">
        <v>137.931586348748</v>
      </c>
      <c r="J38">
        <v>1.0072000000000001</v>
      </c>
      <c r="K38">
        <v>239.55935934413699</v>
      </c>
      <c r="L38">
        <v>224.938416805955</v>
      </c>
      <c r="M38">
        <v>1.01</v>
      </c>
      <c r="N38">
        <v>206.32578080077101</v>
      </c>
      <c r="O38">
        <v>250.173216814884</v>
      </c>
      <c r="P38">
        <f t="shared" si="15"/>
        <v>2.2881903499999998</v>
      </c>
      <c r="Q38">
        <f t="shared" si="16"/>
        <v>13.98485051735307</v>
      </c>
      <c r="R38" s="23">
        <f t="shared" si="17"/>
        <v>108.9875240993737</v>
      </c>
      <c r="S38" s="23">
        <f t="shared" si="18"/>
        <v>110.93440616323507</v>
      </c>
      <c r="T38">
        <f t="shared" si="19"/>
        <v>26.740308494151748</v>
      </c>
    </row>
    <row r="39" spans="1:20">
      <c r="A39" s="25">
        <v>1E-4</v>
      </c>
      <c r="B39">
        <v>1.864125</v>
      </c>
      <c r="C39">
        <v>17.166230805337602</v>
      </c>
      <c r="D39"/>
      <c r="E39"/>
      <c r="F39"/>
      <c r="G39"/>
      <c r="H39">
        <v>139.395892662519</v>
      </c>
      <c r="I39">
        <v>131.87803950540001</v>
      </c>
      <c r="J39">
        <v>1.0029999999999999</v>
      </c>
      <c r="K39">
        <v>236.43195438512799</v>
      </c>
      <c r="L39">
        <v>251.48793613818501</v>
      </c>
      <c r="M39">
        <v>1</v>
      </c>
      <c r="N39">
        <v>195.75360582204701</v>
      </c>
      <c r="O39">
        <v>255.86920819461201</v>
      </c>
      <c r="P39">
        <f t="shared" si="15"/>
        <v>1.864125</v>
      </c>
      <c r="Q39">
        <f t="shared" si="16"/>
        <v>17.166230805337602</v>
      </c>
      <c r="R39" s="23">
        <f t="shared" si="17"/>
        <v>100.86521839063468</v>
      </c>
      <c r="S39" s="23">
        <f t="shared" si="18"/>
        <v>103.31302215642208</v>
      </c>
      <c r="T39">
        <f t="shared" si="19"/>
        <v>32.662791804415697</v>
      </c>
    </row>
    <row r="40" spans="1:20">
      <c r="A40" s="25">
        <v>5.0000000000000002E-5</v>
      </c>
      <c r="B40">
        <v>1.7590330000000001</v>
      </c>
      <c r="C40">
        <v>18.191813342899099</v>
      </c>
      <c r="D40"/>
      <c r="E40"/>
      <c r="F40"/>
      <c r="G40"/>
      <c r="H40">
        <v>138.25781916742201</v>
      </c>
      <c r="I40">
        <v>128.80853666819999</v>
      </c>
      <c r="J40">
        <v>1.0037</v>
      </c>
      <c r="K40">
        <v>236.68582785863299</v>
      </c>
      <c r="L40">
        <v>252.073453250797</v>
      </c>
      <c r="M40">
        <v>1</v>
      </c>
      <c r="N40">
        <v>193.831858599085</v>
      </c>
      <c r="O40">
        <v>255.370369875921</v>
      </c>
      <c r="P40">
        <f t="shared" si="15"/>
        <v>1.7590330000000001</v>
      </c>
      <c r="Q40">
        <f t="shared" si="16"/>
        <v>18.191813342899099</v>
      </c>
      <c r="R40" s="23">
        <f t="shared" si="17"/>
        <v>98.369154779913146</v>
      </c>
      <c r="S40" s="23">
        <f t="shared" si="18"/>
        <v>100.1039463573404</v>
      </c>
      <c r="T40">
        <f t="shared" si="19"/>
        <v>34.578445324230358</v>
      </c>
    </row>
    <row r="41" spans="1:20">
      <c r="A41" s="25">
        <v>1.0000000000000001E-5</v>
      </c>
      <c r="B41">
        <v>1.5924720000000001</v>
      </c>
      <c r="C41">
        <v>20.094544833441301</v>
      </c>
      <c r="D41"/>
      <c r="E41"/>
      <c r="F41"/>
      <c r="G41"/>
      <c r="H41">
        <v>134.875060533425</v>
      </c>
      <c r="I41">
        <v>119.78001260880799</v>
      </c>
      <c r="J41">
        <v>1.0031000000000001</v>
      </c>
      <c r="K41">
        <v>235.254065904778</v>
      </c>
      <c r="L41">
        <v>252.831429130164</v>
      </c>
      <c r="M41">
        <v>1</v>
      </c>
      <c r="N41">
        <v>192.50202848820101</v>
      </c>
      <c r="O41">
        <v>256.513774801517</v>
      </c>
      <c r="P41">
        <f t="shared" si="15"/>
        <v>1.5924720000000001</v>
      </c>
      <c r="Q41">
        <f t="shared" si="16"/>
        <v>20.094544833441301</v>
      </c>
      <c r="R41" s="23">
        <f t="shared" si="17"/>
        <v>93.665090781517492</v>
      </c>
      <c r="S41" s="23">
        <f t="shared" si="18"/>
        <v>92.621128305340079</v>
      </c>
      <c r="T41">
        <f t="shared" si="19"/>
        <v>38.148663649517729</v>
      </c>
    </row>
    <row r="42" spans="1:20">
      <c r="A42" s="2"/>
    </row>
    <row r="43" spans="1:20">
      <c r="A43" s="2"/>
      <c r="E43" s="2"/>
    </row>
    <row r="44" spans="1:20">
      <c r="A44" s="2" t="s">
        <v>52</v>
      </c>
      <c r="E44" s="2"/>
    </row>
    <row r="45" spans="1:20">
      <c r="A45" s="1" t="s">
        <v>19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24" t="s">
        <v>7</v>
      </c>
      <c r="I45" s="24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21</v>
      </c>
      <c r="Q45" s="1" t="s">
        <v>22</v>
      </c>
      <c r="R45" s="24" t="s">
        <v>23</v>
      </c>
      <c r="S45" s="24" t="s">
        <v>24</v>
      </c>
      <c r="T45" s="1" t="s">
        <v>46</v>
      </c>
    </row>
    <row r="46" spans="1:20">
      <c r="A46" s="25">
        <v>0.5</v>
      </c>
      <c r="B46">
        <v>58.7777777777777</v>
      </c>
      <c r="C46">
        <v>0.5</v>
      </c>
      <c r="D46">
        <v>47.306261982676602</v>
      </c>
      <c r="E46"/>
      <c r="F46"/>
      <c r="G46"/>
      <c r="H46">
        <v>399.63335357209598</v>
      </c>
      <c r="I46">
        <v>368.70603091751201</v>
      </c>
      <c r="J46">
        <v>1.0024</v>
      </c>
      <c r="K46">
        <v>217.03010498691</v>
      </c>
      <c r="L46">
        <v>98.879123688951793</v>
      </c>
      <c r="M46">
        <v>1</v>
      </c>
      <c r="N46">
        <v>203.45909587723401</v>
      </c>
      <c r="O46">
        <v>227.29964495746299</v>
      </c>
      <c r="P46">
        <f>B46*M46</f>
        <v>58.7777777777777</v>
      </c>
      <c r="Q46">
        <f>C46/M46</f>
        <v>0.5</v>
      </c>
      <c r="R46" s="23">
        <f>1/(1/H46+1/(N46*B46))</f>
        <v>386.71052892466855</v>
      </c>
      <c r="S46" s="23">
        <f>1/(1/I46+1/(O46*B46))</f>
        <v>358.80397072466525</v>
      </c>
      <c r="T46">
        <f>$Y$2/R46+$Y$2/S46+$Y$2/($Z$2*P46)</f>
        <v>1.3150088789489762</v>
      </c>
    </row>
    <row r="47" spans="1:20">
      <c r="A47" s="25">
        <v>1</v>
      </c>
      <c r="B47">
        <v>29.3888888888888</v>
      </c>
      <c r="C47">
        <v>1</v>
      </c>
      <c r="D47">
        <v>56.133710425541302</v>
      </c>
      <c r="E47"/>
      <c r="F47"/>
      <c r="G47"/>
      <c r="H47">
        <v>337.155447577122</v>
      </c>
      <c r="I47">
        <v>381.54230859426002</v>
      </c>
      <c r="J47">
        <v>0.99970000000000003</v>
      </c>
      <c r="K47">
        <v>202.665885038499</v>
      </c>
      <c r="L47">
        <v>218.092184585448</v>
      </c>
      <c r="M47">
        <v>1</v>
      </c>
      <c r="N47">
        <v>201.42516102647801</v>
      </c>
      <c r="O47">
        <v>234.20026456124501</v>
      </c>
      <c r="P47">
        <f t="shared" ref="P47:P53" si="20">B47*M47</f>
        <v>29.3888888888888</v>
      </c>
      <c r="Q47">
        <f t="shared" ref="Q47:Q53" si="21">C47/M47</f>
        <v>1</v>
      </c>
      <c r="R47" s="23">
        <f t="shared" ref="R47:R53" si="22">1/(1/H47+1/(N47*B47))</f>
        <v>318.98745679672442</v>
      </c>
      <c r="S47" s="23">
        <f t="shared" ref="S47:S53" si="23">1/(1/I47+1/(O47*B47))</f>
        <v>361.50294196797819</v>
      </c>
      <c r="T47">
        <f t="shared" ref="T47:T53" si="24">$Y$2/R47+$Y$2/S47+$Y$2/($Z$2*P47)</f>
        <v>2.3454273578979556</v>
      </c>
    </row>
    <row r="48" spans="1:20">
      <c r="A48" s="25">
        <v>2</v>
      </c>
      <c r="B48">
        <v>14.6944444444444</v>
      </c>
      <c r="C48">
        <v>2</v>
      </c>
      <c r="D48">
        <v>66.029191455170206</v>
      </c>
      <c r="E48"/>
      <c r="F48"/>
      <c r="G48"/>
      <c r="H48">
        <v>240.42905250481999</v>
      </c>
      <c r="I48">
        <v>287.31375494519199</v>
      </c>
      <c r="J48">
        <v>0.99860000000000004</v>
      </c>
      <c r="K48">
        <v>221.82810697496799</v>
      </c>
      <c r="L48">
        <v>230.847571782241</v>
      </c>
      <c r="M48">
        <v>1</v>
      </c>
      <c r="N48">
        <v>190.54803143078601</v>
      </c>
      <c r="O48">
        <v>244.32450880995799</v>
      </c>
      <c r="P48">
        <f t="shared" si="20"/>
        <v>14.6944444444444</v>
      </c>
      <c r="Q48">
        <f t="shared" si="21"/>
        <v>2</v>
      </c>
      <c r="R48" s="23">
        <f t="shared" si="22"/>
        <v>221.41654586626333</v>
      </c>
      <c r="S48" s="23">
        <f t="shared" si="23"/>
        <v>266.02461867949717</v>
      </c>
      <c r="T48">
        <f t="shared" si="24"/>
        <v>4.4836792157959104</v>
      </c>
    </row>
    <row r="49" spans="1:20">
      <c r="A49" s="25">
        <v>4</v>
      </c>
      <c r="B49">
        <v>7.3472222222222197</v>
      </c>
      <c r="C49">
        <v>4</v>
      </c>
      <c r="D49">
        <v>80.450015059083398</v>
      </c>
      <c r="E49"/>
      <c r="F49"/>
      <c r="G49"/>
      <c r="H49">
        <v>113.722598555877</v>
      </c>
      <c r="I49">
        <v>200.03877621395401</v>
      </c>
      <c r="J49">
        <v>0.99849999999999905</v>
      </c>
      <c r="K49">
        <v>226.58750066506499</v>
      </c>
      <c r="L49">
        <v>240.468014256164</v>
      </c>
      <c r="M49">
        <v>1</v>
      </c>
      <c r="N49">
        <v>191.70303966335101</v>
      </c>
      <c r="O49">
        <v>259.392607075733</v>
      </c>
      <c r="P49">
        <f t="shared" si="20"/>
        <v>7.3472222222222197</v>
      </c>
      <c r="Q49">
        <f t="shared" si="21"/>
        <v>4</v>
      </c>
      <c r="R49" s="23">
        <f t="shared" si="22"/>
        <v>105.22649667547522</v>
      </c>
      <c r="S49" s="23">
        <f t="shared" si="23"/>
        <v>181.03674006683477</v>
      </c>
      <c r="T49">
        <f t="shared" si="24"/>
        <v>8.8778474315918015</v>
      </c>
    </row>
    <row r="50" spans="1:20">
      <c r="A50" s="25">
        <v>6</v>
      </c>
      <c r="B50">
        <v>4.8981481481481399</v>
      </c>
      <c r="C50">
        <v>6</v>
      </c>
      <c r="D50">
        <v>92.762601709612099</v>
      </c>
      <c r="E50"/>
      <c r="F50"/>
      <c r="G50"/>
      <c r="H50">
        <v>89.616434725325703</v>
      </c>
      <c r="I50">
        <v>161.71936156753</v>
      </c>
      <c r="J50">
        <v>0.99849999999999905</v>
      </c>
      <c r="K50">
        <v>231.203384323297</v>
      </c>
      <c r="L50">
        <v>246.10542905665</v>
      </c>
      <c r="M50">
        <v>1</v>
      </c>
      <c r="N50">
        <v>190.625265406941</v>
      </c>
      <c r="O50">
        <v>258.62206198608402</v>
      </c>
      <c r="P50">
        <f t="shared" si="20"/>
        <v>4.8981481481481399</v>
      </c>
      <c r="Q50">
        <f t="shared" si="21"/>
        <v>6</v>
      </c>
      <c r="R50" s="23">
        <f t="shared" si="22"/>
        <v>81.768402177182438</v>
      </c>
      <c r="S50" s="23">
        <f t="shared" si="23"/>
        <v>143.4110928941312</v>
      </c>
      <c r="T50">
        <f t="shared" si="24"/>
        <v>13.120693247387717</v>
      </c>
    </row>
    <row r="51" spans="1:20">
      <c r="A51" s="25">
        <v>8</v>
      </c>
      <c r="B51">
        <v>3.6736111111111098</v>
      </c>
      <c r="C51">
        <v>8</v>
      </c>
      <c r="D51">
        <v>104.738572643607</v>
      </c>
      <c r="E51"/>
      <c r="F51"/>
      <c r="G51"/>
      <c r="H51">
        <v>76.832588513480104</v>
      </c>
      <c r="I51">
        <v>145.413950978184</v>
      </c>
      <c r="J51">
        <v>0.99849999999999905</v>
      </c>
      <c r="K51">
        <v>232.44761309918701</v>
      </c>
      <c r="L51">
        <v>246.17836579890201</v>
      </c>
      <c r="M51">
        <v>1</v>
      </c>
      <c r="N51">
        <v>192.500629176601</v>
      </c>
      <c r="O51">
        <v>255.07562436983599</v>
      </c>
      <c r="P51">
        <f t="shared" si="20"/>
        <v>3.6736111111111098</v>
      </c>
      <c r="Q51">
        <f t="shared" si="21"/>
        <v>8</v>
      </c>
      <c r="R51" s="23">
        <f t="shared" si="22"/>
        <v>69.302985557005769</v>
      </c>
      <c r="S51" s="23">
        <f t="shared" si="23"/>
        <v>125.87958816342464</v>
      </c>
      <c r="T51">
        <f t="shared" si="24"/>
        <v>17.304520663183602</v>
      </c>
    </row>
    <row r="52" spans="1:20">
      <c r="A52" s="25">
        <v>12</v>
      </c>
      <c r="B52">
        <v>2.44907407407407</v>
      </c>
      <c r="C52">
        <v>12</v>
      </c>
      <c r="D52">
        <v>128.63716378807101</v>
      </c>
      <c r="E52"/>
      <c r="F52"/>
      <c r="G52"/>
      <c r="H52">
        <v>49.194450738378698</v>
      </c>
      <c r="I52">
        <v>130.21013962549401</v>
      </c>
      <c r="J52">
        <v>0.99919999999999998</v>
      </c>
      <c r="K52">
        <v>236.84357708302801</v>
      </c>
      <c r="L52">
        <v>244.97543794106801</v>
      </c>
      <c r="M52">
        <v>1</v>
      </c>
      <c r="N52">
        <v>204.29524932626899</v>
      </c>
      <c r="O52">
        <v>257.16684530754799</v>
      </c>
      <c r="P52">
        <f t="shared" si="20"/>
        <v>2.44907407407407</v>
      </c>
      <c r="Q52">
        <f t="shared" si="21"/>
        <v>12</v>
      </c>
      <c r="R52" s="23">
        <f t="shared" si="22"/>
        <v>44.790505673010138</v>
      </c>
      <c r="S52" s="23">
        <f t="shared" si="23"/>
        <v>107.90225340109527</v>
      </c>
      <c r="T52">
        <f t="shared" si="24"/>
        <v>25.841268894775432</v>
      </c>
    </row>
    <row r="53" spans="1:20">
      <c r="A53" s="25">
        <v>16</v>
      </c>
      <c r="B53">
        <v>1.83680555555555</v>
      </c>
      <c r="C53">
        <v>16</v>
      </c>
      <c r="D53">
        <v>152.70901889044001</v>
      </c>
      <c r="E53"/>
      <c r="F53"/>
      <c r="G53"/>
      <c r="H53">
        <v>28.387568517152101</v>
      </c>
      <c r="I53">
        <v>121.901387212359</v>
      </c>
      <c r="J53">
        <v>1.0013000000000001</v>
      </c>
      <c r="K53">
        <v>241.06554477537401</v>
      </c>
      <c r="L53">
        <v>244.470937065166</v>
      </c>
      <c r="M53">
        <v>1</v>
      </c>
      <c r="N53">
        <v>212.45431625666001</v>
      </c>
      <c r="O53">
        <v>257.69290821161002</v>
      </c>
      <c r="P53">
        <f t="shared" si="20"/>
        <v>1.83680555555555</v>
      </c>
      <c r="Q53">
        <f t="shared" si="21"/>
        <v>16</v>
      </c>
      <c r="R53" s="23">
        <f t="shared" si="22"/>
        <v>26.462565566427376</v>
      </c>
      <c r="S53" s="23">
        <f t="shared" si="23"/>
        <v>96.936466931419631</v>
      </c>
      <c r="T53">
        <f t="shared" si="24"/>
        <v>34.806313426367296</v>
      </c>
    </row>
    <row r="56" spans="1:20">
      <c r="A56" s="1" t="s">
        <v>20</v>
      </c>
      <c r="E56" s="2"/>
    </row>
    <row r="57" spans="1:20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24" t="s">
        <v>7</v>
      </c>
      <c r="I57" s="24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21</v>
      </c>
      <c r="Q57" s="1" t="s">
        <v>22</v>
      </c>
      <c r="R57" s="24" t="s">
        <v>23</v>
      </c>
      <c r="S57" s="24" t="s">
        <v>24</v>
      </c>
      <c r="T57" s="1" t="s">
        <v>46</v>
      </c>
    </row>
    <row r="58" spans="1:20">
      <c r="A58" s="25">
        <v>0.01</v>
      </c>
      <c r="B58">
        <v>19.041730999999999</v>
      </c>
      <c r="C58">
        <v>1.68051948638493</v>
      </c>
      <c r="D58">
        <v>46.748553686824202</v>
      </c>
      <c r="E58"/>
      <c r="F58">
        <v>78.281099999999995</v>
      </c>
      <c r="G58">
        <v>83.330299999999994</v>
      </c>
      <c r="H58">
        <v>79.009239291518398</v>
      </c>
      <c r="I58">
        <v>83.590714133633597</v>
      </c>
      <c r="J58">
        <v>1.5892999999999999</v>
      </c>
      <c r="K58">
        <v>268.53073344633702</v>
      </c>
      <c r="L58">
        <v>133.18055975948499</v>
      </c>
      <c r="M58">
        <v>1.59</v>
      </c>
      <c r="N58">
        <v>304.01268503985</v>
      </c>
      <c r="O58">
        <v>192.03739511736501</v>
      </c>
      <c r="P58">
        <f t="shared" ref="P58:P64" si="25">B58*M58</f>
        <v>30.276352289999998</v>
      </c>
      <c r="Q58">
        <f t="shared" ref="Q58:Q64" si="26">C58/M58</f>
        <v>1.0569304945817168</v>
      </c>
      <c r="R58" s="23">
        <f t="shared" ref="R58:R64" si="27">1/(1/H58+1/(N58*B58))</f>
        <v>77.945413983837057</v>
      </c>
      <c r="S58" s="23">
        <f t="shared" ref="S58:S64" si="28">1/(1/I58+1/(O58*B58))</f>
        <v>81.722580770740549</v>
      </c>
      <c r="T58">
        <f>$Y$2/R58+$Y$2/S58+$Y$2/($Z$2*P58)</f>
        <v>3.4126209596886001</v>
      </c>
    </row>
    <row r="59" spans="1:20">
      <c r="A59" s="25">
        <v>5.0000000000000001E-3</v>
      </c>
      <c r="B59">
        <v>15.666805999999999</v>
      </c>
      <c r="C59">
        <v>2.0425350259650799</v>
      </c>
      <c r="D59">
        <v>52.340946532001396</v>
      </c>
      <c r="E59"/>
      <c r="F59">
        <v>78.132000000000005</v>
      </c>
      <c r="G59">
        <v>83.159800000000004</v>
      </c>
      <c r="H59">
        <v>78.827703352635695</v>
      </c>
      <c r="I59">
        <v>83.421267914312097</v>
      </c>
      <c r="J59">
        <v>1.4061999999999999</v>
      </c>
      <c r="K59">
        <v>268.24742229270203</v>
      </c>
      <c r="L59">
        <v>149.41342405062699</v>
      </c>
      <c r="M59">
        <v>1.41</v>
      </c>
      <c r="N59">
        <v>294.84034393904699</v>
      </c>
      <c r="O59">
        <v>194.27933499341799</v>
      </c>
      <c r="P59">
        <f t="shared" si="25"/>
        <v>22.090196459999998</v>
      </c>
      <c r="Q59">
        <f t="shared" si="26"/>
        <v>1.4486064013936737</v>
      </c>
      <c r="R59" s="23">
        <f t="shared" si="27"/>
        <v>77.505063587305372</v>
      </c>
      <c r="S59" s="23">
        <f t="shared" si="28"/>
        <v>81.195890072661001</v>
      </c>
      <c r="T59">
        <f t="shared" ref="T59:T64" si="29">$Y$2/R59+$Y$2/S59+$Y$2/($Z$2*P59)</f>
        <v>4.1405597637152303</v>
      </c>
    </row>
    <row r="60" spans="1:20">
      <c r="A60" s="25">
        <v>1E-3</v>
      </c>
      <c r="B60">
        <v>12.075555</v>
      </c>
      <c r="C60">
        <v>2.6499817192667301</v>
      </c>
      <c r="D60">
        <v>65.626114698205299</v>
      </c>
      <c r="E60"/>
      <c r="F60">
        <v>78.215500000000006</v>
      </c>
      <c r="G60">
        <v>82.885900000000007</v>
      </c>
      <c r="H60">
        <v>78.947025235255694</v>
      </c>
      <c r="I60">
        <v>83.162366057136296</v>
      </c>
      <c r="J60">
        <v>1.2153</v>
      </c>
      <c r="K60">
        <v>258.28898305469897</v>
      </c>
      <c r="L60">
        <v>167.82541805639599</v>
      </c>
      <c r="M60">
        <v>1.22</v>
      </c>
      <c r="N60">
        <v>281.25052585017897</v>
      </c>
      <c r="O60">
        <v>218.570963473262</v>
      </c>
      <c r="P60">
        <f t="shared" si="25"/>
        <v>14.732177099999999</v>
      </c>
      <c r="Q60">
        <f t="shared" si="26"/>
        <v>2.1721161633333854</v>
      </c>
      <c r="R60" s="23">
        <f t="shared" si="27"/>
        <v>77.153566723371426</v>
      </c>
      <c r="S60" s="23">
        <f t="shared" si="28"/>
        <v>80.622087689484502</v>
      </c>
      <c r="T60">
        <f t="shared" si="29"/>
        <v>5.4772991902928574</v>
      </c>
    </row>
    <row r="61" spans="1:20">
      <c r="A61" s="25">
        <v>5.0000000000000001E-4</v>
      </c>
      <c r="B61">
        <v>10.917396999999999</v>
      </c>
      <c r="C61">
        <v>2.9311016169880002</v>
      </c>
      <c r="D61">
        <v>71.443469619923604</v>
      </c>
      <c r="E61"/>
      <c r="F61">
        <v>78.133099999999999</v>
      </c>
      <c r="G61">
        <v>82.746899999999997</v>
      </c>
      <c r="H61">
        <v>78.869011449927498</v>
      </c>
      <c r="I61">
        <v>83.012677095926904</v>
      </c>
      <c r="J61">
        <v>1.2053</v>
      </c>
      <c r="K61">
        <v>258.85933324599603</v>
      </c>
      <c r="L61">
        <v>175.614596816367</v>
      </c>
      <c r="M61">
        <v>1.21</v>
      </c>
      <c r="N61">
        <v>282.211362020894</v>
      </c>
      <c r="O61">
        <v>223.296012899044</v>
      </c>
      <c r="P61">
        <f t="shared" si="25"/>
        <v>13.210050369999999</v>
      </c>
      <c r="Q61">
        <f t="shared" si="26"/>
        <v>2.4223980305685955</v>
      </c>
      <c r="R61" s="23">
        <f t="shared" si="27"/>
        <v>76.90048224365394</v>
      </c>
      <c r="S61" s="23">
        <f t="shared" si="28"/>
        <v>80.279005551905428</v>
      </c>
      <c r="T61">
        <f t="shared" si="29"/>
        <v>5.9423578818330318</v>
      </c>
    </row>
    <row r="62" spans="1:20">
      <c r="A62" s="25">
        <v>1E-4</v>
      </c>
      <c r="B62">
        <v>8.2570219999999992</v>
      </c>
      <c r="C62">
        <v>3.8754892502405802</v>
      </c>
      <c r="D62">
        <v>85.096938408232305</v>
      </c>
      <c r="E62"/>
      <c r="F62">
        <v>78.145499999999998</v>
      </c>
      <c r="G62">
        <v>82.510599999999997</v>
      </c>
      <c r="H62">
        <v>78.855448985722006</v>
      </c>
      <c r="I62">
        <v>82.758563159816802</v>
      </c>
      <c r="J62">
        <v>1.2291000000000001</v>
      </c>
      <c r="K62">
        <v>273.31819257191398</v>
      </c>
      <c r="L62">
        <v>178.16732286524601</v>
      </c>
      <c r="M62">
        <v>1.23</v>
      </c>
      <c r="N62">
        <v>286.30702422095601</v>
      </c>
      <c r="O62">
        <v>229.00377806284499</v>
      </c>
      <c r="P62">
        <f t="shared" si="25"/>
        <v>10.156137059999999</v>
      </c>
      <c r="Q62">
        <f t="shared" si="26"/>
        <v>3.1508042684882764</v>
      </c>
      <c r="R62" s="23">
        <f t="shared" si="27"/>
        <v>76.310037888141579</v>
      </c>
      <c r="S62" s="23">
        <f t="shared" si="28"/>
        <v>79.288349382210754</v>
      </c>
      <c r="T62">
        <f t="shared" si="29"/>
        <v>7.2945366061339332</v>
      </c>
    </row>
    <row r="63" spans="1:20">
      <c r="A63" s="25">
        <v>5.0000000000000002E-5</v>
      </c>
      <c r="B63">
        <v>7.1966049999999999</v>
      </c>
      <c r="C63">
        <v>4.4465411120938203</v>
      </c>
      <c r="D63">
        <v>91.000348181682298</v>
      </c>
      <c r="E63"/>
      <c r="F63">
        <v>78.137299999999996</v>
      </c>
      <c r="G63">
        <v>82.374399999999994</v>
      </c>
      <c r="H63">
        <v>78.875418451304398</v>
      </c>
      <c r="I63">
        <v>82.654226390284407</v>
      </c>
      <c r="J63">
        <v>1.2314000000000001</v>
      </c>
      <c r="K63">
        <v>272.574842733178</v>
      </c>
      <c r="L63">
        <v>176.828723778079</v>
      </c>
      <c r="M63">
        <v>1.23</v>
      </c>
      <c r="N63">
        <v>287.53806607075899</v>
      </c>
      <c r="O63">
        <v>231.99214695167299</v>
      </c>
      <c r="P63">
        <f t="shared" si="25"/>
        <v>8.8518241500000006</v>
      </c>
      <c r="Q63">
        <f t="shared" si="26"/>
        <v>3.6150740748730246</v>
      </c>
      <c r="R63" s="23">
        <f t="shared" si="27"/>
        <v>75.979315223114625</v>
      </c>
      <c r="S63" s="23">
        <f t="shared" si="28"/>
        <v>78.755309671997196</v>
      </c>
      <c r="T63">
        <f t="shared" si="29"/>
        <v>8.1551557941277046</v>
      </c>
    </row>
    <row r="64" spans="1:20">
      <c r="A64" s="25">
        <v>1.0000000000000001E-5</v>
      </c>
      <c r="B64">
        <v>5.2151699999999996</v>
      </c>
      <c r="C64">
        <v>6.1359457122203098</v>
      </c>
      <c r="D64">
        <v>61.991796667126998</v>
      </c>
      <c r="E64"/>
      <c r="F64">
        <v>78.081699999999998</v>
      </c>
      <c r="G64">
        <v>82.280699999999996</v>
      </c>
      <c r="H64">
        <v>78.801615729360293</v>
      </c>
      <c r="I64">
        <v>82.541603483711697</v>
      </c>
      <c r="J64">
        <v>1.2068000000000001</v>
      </c>
      <c r="K64">
        <v>276.35091254937203</v>
      </c>
      <c r="L64">
        <v>187.65178305529</v>
      </c>
      <c r="M64">
        <v>1.21</v>
      </c>
      <c r="N64">
        <v>286.16918369913799</v>
      </c>
      <c r="O64">
        <v>237.22042092323201</v>
      </c>
      <c r="P64">
        <f t="shared" si="25"/>
        <v>6.3103556999999997</v>
      </c>
      <c r="Q64">
        <f t="shared" si="26"/>
        <v>5.071029514231661</v>
      </c>
      <c r="R64" s="23">
        <f t="shared" si="27"/>
        <v>74.849473741588142</v>
      </c>
      <c r="S64" s="23">
        <f t="shared" si="28"/>
        <v>77.378925311782623</v>
      </c>
      <c r="T64">
        <f t="shared" si="29"/>
        <v>10.852772091929619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43</v>
      </c>
    </row>
    <row r="70" spans="1:21">
      <c r="A70" s="2"/>
      <c r="B70" s="1" t="s">
        <v>53</v>
      </c>
      <c r="C70" s="1" t="s">
        <v>54</v>
      </c>
      <c r="D70" s="1" t="s">
        <v>55</v>
      </c>
      <c r="E70" s="1" t="s">
        <v>56</v>
      </c>
      <c r="F70" s="19" t="s">
        <v>57</v>
      </c>
      <c r="G70" s="19" t="s">
        <v>58</v>
      </c>
      <c r="H70" s="22" t="s">
        <v>59</v>
      </c>
      <c r="I70" s="22" t="s">
        <v>60</v>
      </c>
      <c r="J70" s="19" t="s">
        <v>41</v>
      </c>
      <c r="K70" s="19" t="s">
        <v>42</v>
      </c>
      <c r="L70" s="1" t="s">
        <v>61</v>
      </c>
      <c r="M70" s="1" t="s">
        <v>62</v>
      </c>
    </row>
    <row r="71" spans="1:21">
      <c r="A71" s="2"/>
      <c r="B71" s="1">
        <v>1.11948286049001</v>
      </c>
      <c r="C71" s="1">
        <v>46.748553686824202</v>
      </c>
      <c r="D71" s="1">
        <v>1.44046867088675</v>
      </c>
      <c r="E71" s="1">
        <v>46.748553686824103</v>
      </c>
      <c r="F71" s="1">
        <v>9.7219905654157799</v>
      </c>
      <c r="G71" s="1">
        <v>85.008990499339902</v>
      </c>
      <c r="H71" s="24">
        <v>0.5</v>
      </c>
      <c r="I71" s="24">
        <v>47.306261982676602</v>
      </c>
      <c r="J71" s="1">
        <v>1.68051948638493</v>
      </c>
      <c r="K71" s="1">
        <v>46.748553686824202</v>
      </c>
      <c r="L71" s="1">
        <v>1.0921478596188601</v>
      </c>
      <c r="M71" s="1">
        <v>59.281594174624502</v>
      </c>
    </row>
    <row r="72" spans="1:21">
      <c r="A72" s="2"/>
      <c r="B72" s="1">
        <v>1.2007542988411</v>
      </c>
      <c r="C72" s="1">
        <v>52.340946532001396</v>
      </c>
      <c r="D72" s="1">
        <v>1.9095330093810501</v>
      </c>
      <c r="E72" s="2">
        <v>52.340946532001396</v>
      </c>
      <c r="F72" s="1">
        <v>10.670661050786601</v>
      </c>
      <c r="G72" s="1">
        <v>91.052597133513302</v>
      </c>
      <c r="H72" s="24">
        <v>1</v>
      </c>
      <c r="I72" s="24">
        <v>56.133710425541302</v>
      </c>
      <c r="J72" s="1">
        <v>2.0425350259650799</v>
      </c>
      <c r="K72" s="1">
        <v>52.340946532001396</v>
      </c>
      <c r="L72" s="1">
        <v>1.1014697702826199</v>
      </c>
      <c r="M72" s="1">
        <v>62.878544847709598</v>
      </c>
      <c r="U72" t="s">
        <v>25</v>
      </c>
    </row>
    <row r="73" spans="1:21">
      <c r="A73" s="2"/>
      <c r="B73" s="1">
        <v>1.5284291645682599</v>
      </c>
      <c r="C73" s="1">
        <v>65.626114698205299</v>
      </c>
      <c r="D73" s="1">
        <v>3.1760689556330899</v>
      </c>
      <c r="E73" s="2">
        <v>65.626114698205299</v>
      </c>
      <c r="F73" s="1">
        <v>12.9340327950485</v>
      </c>
      <c r="G73" s="1">
        <v>103.64231508078301</v>
      </c>
      <c r="H73" s="24">
        <v>2</v>
      </c>
      <c r="I73" s="24">
        <v>66.029191455170206</v>
      </c>
      <c r="J73" s="1">
        <v>2.6499817192667301</v>
      </c>
      <c r="K73" s="1">
        <v>65.626114698205299</v>
      </c>
      <c r="L73" s="1">
        <v>1.15468232704572</v>
      </c>
      <c r="M73" s="1">
        <v>73.306080145578505</v>
      </c>
    </row>
    <row r="74" spans="1:21">
      <c r="A74" s="2"/>
      <c r="B74" s="1">
        <v>1.6684392965213399</v>
      </c>
      <c r="C74" s="1">
        <v>71.443469619923604</v>
      </c>
      <c r="D74" s="1">
        <v>3.87924539463866</v>
      </c>
      <c r="E74" s="1">
        <v>71.443469619923604</v>
      </c>
      <c r="F74" s="1">
        <v>14.124699022526601</v>
      </c>
      <c r="G74" s="1">
        <v>109.817999808235</v>
      </c>
      <c r="H74" s="24">
        <v>4</v>
      </c>
      <c r="I74" s="24">
        <v>80.450015059083398</v>
      </c>
      <c r="J74" s="1">
        <v>2.9311016169880002</v>
      </c>
      <c r="K74" s="1">
        <v>71.443469619923604</v>
      </c>
      <c r="L74" s="1">
        <v>1.19604152117942</v>
      </c>
      <c r="M74" s="1">
        <v>77.512626785922095</v>
      </c>
    </row>
    <row r="75" spans="1:21">
      <c r="A75" s="2"/>
      <c r="B75" s="1">
        <v>2.15833170671563</v>
      </c>
      <c r="C75" s="1">
        <v>85.096938408232305</v>
      </c>
      <c r="D75" s="1">
        <v>5.7542965714102801</v>
      </c>
      <c r="E75" s="1">
        <v>85.096938982675596</v>
      </c>
      <c r="H75" s="24">
        <v>6</v>
      </c>
      <c r="I75" s="24">
        <v>92.762601709612099</v>
      </c>
      <c r="J75" s="1">
        <v>3.8754892502405802</v>
      </c>
      <c r="K75" s="1">
        <v>85.096938408232305</v>
      </c>
      <c r="L75" s="1">
        <v>1.4163861447513799</v>
      </c>
      <c r="M75" s="1">
        <v>88.824634169360294</v>
      </c>
    </row>
    <row r="76" spans="1:21">
      <c r="A76" s="2"/>
      <c r="B76" s="1">
        <v>2.5194124667142299</v>
      </c>
      <c r="C76" s="1">
        <v>91.000348181682298</v>
      </c>
      <c r="D76" s="1">
        <v>6.6367501327868501</v>
      </c>
      <c r="E76" s="2">
        <v>91.000348615698101</v>
      </c>
      <c r="H76" s="24">
        <v>8</v>
      </c>
      <c r="I76" s="24">
        <v>104.738572643607</v>
      </c>
      <c r="J76" s="1">
        <v>4.4465411120938203</v>
      </c>
      <c r="K76" s="1">
        <v>91.000348181682298</v>
      </c>
      <c r="L76" s="1">
        <v>1.6026012622388</v>
      </c>
      <c r="M76" s="1">
        <v>93.416352109354804</v>
      </c>
    </row>
    <row r="77" spans="1:21">
      <c r="A77" s="2"/>
      <c r="B77" s="1">
        <v>3.8643473047360999</v>
      </c>
      <c r="C77" s="1">
        <v>104.825866657969</v>
      </c>
      <c r="D77" s="1">
        <v>8.7899820574491194</v>
      </c>
      <c r="E77" s="1">
        <v>104.825868524358</v>
      </c>
      <c r="H77" s="24">
        <v>12</v>
      </c>
      <c r="I77" s="24">
        <v>128.63716378807101</v>
      </c>
      <c r="J77" s="1">
        <v>5.3508878126172599</v>
      </c>
      <c r="K77" s="1">
        <v>98.855534834109505</v>
      </c>
      <c r="L77" s="1">
        <v>2.5688184454650602</v>
      </c>
      <c r="M77" s="1">
        <v>105.671699630794</v>
      </c>
    </row>
    <row r="78" spans="1:21">
      <c r="A78" s="2"/>
      <c r="H78" s="24">
        <v>16</v>
      </c>
      <c r="I78" s="24">
        <v>152.70901889044001</v>
      </c>
    </row>
    <row r="79" spans="1:21">
      <c r="A79" s="2"/>
      <c r="E79" s="2"/>
    </row>
    <row r="80" spans="1:21">
      <c r="A80" s="2"/>
      <c r="B80" s="1" t="s">
        <v>40</v>
      </c>
    </row>
    <row r="81" spans="1:13">
      <c r="A81" s="2"/>
      <c r="B81" s="1" t="s">
        <v>53</v>
      </c>
      <c r="C81" s="1" t="s">
        <v>54</v>
      </c>
      <c r="D81" s="1" t="s">
        <v>55</v>
      </c>
      <c r="E81" s="1" t="s">
        <v>56</v>
      </c>
      <c r="F81" s="19" t="s">
        <v>57</v>
      </c>
      <c r="G81" s="19" t="s">
        <v>58</v>
      </c>
      <c r="H81" s="22" t="s">
        <v>59</v>
      </c>
      <c r="I81" s="22" t="s">
        <v>60</v>
      </c>
      <c r="J81" s="19" t="s">
        <v>41</v>
      </c>
      <c r="K81" s="19" t="s">
        <v>42</v>
      </c>
      <c r="L81" s="1" t="s">
        <v>61</v>
      </c>
      <c r="M81" s="1" t="s">
        <v>62</v>
      </c>
    </row>
    <row r="82" spans="1:13">
      <c r="A82" s="2"/>
      <c r="B82" s="1">
        <v>0.69533096924845339</v>
      </c>
      <c r="C82" s="1">
        <v>46.748553686824202</v>
      </c>
      <c r="D82" s="1">
        <v>0.82785555798089083</v>
      </c>
      <c r="E82" s="1">
        <v>46.748553686824103</v>
      </c>
      <c r="F82" s="1">
        <v>9.6257332330849312</v>
      </c>
      <c r="G82" s="1">
        <v>85.008990499339902</v>
      </c>
      <c r="H82" s="24">
        <v>0.5</v>
      </c>
      <c r="I82" s="24">
        <v>47.306261982676602</v>
      </c>
      <c r="J82" s="1">
        <v>1.0569304945817168</v>
      </c>
      <c r="K82" s="1">
        <v>46.748553686824202</v>
      </c>
      <c r="L82" s="1">
        <v>0.19060172070137171</v>
      </c>
      <c r="M82" s="1">
        <v>59.281594174624502</v>
      </c>
    </row>
    <row r="83" spans="1:13">
      <c r="A83" s="2"/>
      <c r="B83" s="1">
        <v>0.90282278108353375</v>
      </c>
      <c r="C83" s="1">
        <v>52.340946532001396</v>
      </c>
      <c r="D83" s="1">
        <v>1.2902250063385474</v>
      </c>
      <c r="E83" s="2">
        <v>52.340946532001396</v>
      </c>
      <c r="F83" s="1">
        <v>10.565010941372872</v>
      </c>
      <c r="G83" s="1">
        <v>91.052597133513302</v>
      </c>
      <c r="H83" s="24">
        <v>1</v>
      </c>
      <c r="I83" s="24">
        <v>56.133710425541302</v>
      </c>
      <c r="J83" s="1">
        <v>1.4486064013936737</v>
      </c>
      <c r="K83" s="1">
        <v>52.340946532001396</v>
      </c>
      <c r="L83" s="1">
        <v>0.23841337019104328</v>
      </c>
      <c r="M83" s="1">
        <v>62.878544847709598</v>
      </c>
    </row>
    <row r="84" spans="1:13">
      <c r="A84" s="2"/>
      <c r="B84" s="1">
        <v>1.3525921810338586</v>
      </c>
      <c r="C84" s="1">
        <v>65.626114698205299</v>
      </c>
      <c r="D84" s="1">
        <v>2.7860253996781492</v>
      </c>
      <c r="E84" s="2">
        <v>65.626114698205299</v>
      </c>
      <c r="F84" s="1">
        <v>12.805973064404455</v>
      </c>
      <c r="G84" s="1">
        <v>103.64231508078301</v>
      </c>
      <c r="H84" s="24">
        <v>2</v>
      </c>
      <c r="I84" s="24">
        <v>66.029191455170206</v>
      </c>
      <c r="J84" s="1">
        <v>2.1721161633333854</v>
      </c>
      <c r="K84" s="1">
        <v>65.626114698205299</v>
      </c>
      <c r="L84" s="1">
        <v>0.4065782841710282</v>
      </c>
      <c r="M84" s="1">
        <v>73.306080145578505</v>
      </c>
    </row>
    <row r="85" spans="1:13">
      <c r="A85" s="2"/>
      <c r="B85" s="1">
        <v>1.5306782536893027</v>
      </c>
      <c r="C85" s="1">
        <v>71.443469619923604</v>
      </c>
      <c r="D85" s="1">
        <v>3.5589407290262933</v>
      </c>
      <c r="E85" s="1">
        <v>71.443469619923604</v>
      </c>
      <c r="F85" s="1">
        <v>13.98485051735307</v>
      </c>
      <c r="G85" s="1">
        <v>109.817999808235</v>
      </c>
      <c r="H85" s="24">
        <v>4</v>
      </c>
      <c r="I85" s="24">
        <v>80.450015059083398</v>
      </c>
      <c r="J85" s="1">
        <v>2.4223980305685955</v>
      </c>
      <c r="K85" s="1">
        <v>71.443469619923604</v>
      </c>
      <c r="L85" s="1">
        <v>0.50465886969595775</v>
      </c>
      <c r="M85" s="1">
        <v>77.512626785922095</v>
      </c>
    </row>
    <row r="86" spans="1:13">
      <c r="A86" s="2"/>
      <c r="B86" s="1">
        <v>2.0954676764229418</v>
      </c>
      <c r="C86" s="1">
        <v>85.096938408232305</v>
      </c>
      <c r="D86" s="1">
        <v>5.4802824489621713</v>
      </c>
      <c r="E86" s="1">
        <v>85.096938982675596</v>
      </c>
      <c r="H86" s="24">
        <v>6</v>
      </c>
      <c r="I86" s="24">
        <v>92.762601709612099</v>
      </c>
      <c r="J86" s="1">
        <v>3.1508042684882764</v>
      </c>
      <c r="K86" s="1">
        <v>85.096938408232305</v>
      </c>
      <c r="L86" s="1">
        <v>0.92574257826887574</v>
      </c>
      <c r="M86" s="1">
        <v>88.824634169360294</v>
      </c>
    </row>
    <row r="87" spans="1:13">
      <c r="A87" s="2"/>
      <c r="B87" s="1">
        <v>2.4700122222688528</v>
      </c>
      <c r="C87" s="1">
        <v>91.000348181682298</v>
      </c>
      <c r="D87" s="1">
        <v>6.3814905122950476</v>
      </c>
      <c r="E87" s="2">
        <v>91.000348615698101</v>
      </c>
      <c r="H87" s="24">
        <v>8</v>
      </c>
      <c r="I87" s="24">
        <v>104.738572643607</v>
      </c>
      <c r="J87" s="1">
        <v>3.6150740748730246</v>
      </c>
      <c r="K87" s="1">
        <v>91.000348181682298</v>
      </c>
      <c r="L87" s="1">
        <v>1.2327702017221538</v>
      </c>
      <c r="M87" s="1">
        <v>93.416352109354804</v>
      </c>
    </row>
    <row r="88" spans="1:13">
      <c r="A88" s="2"/>
      <c r="B88" s="1">
        <v>3.8643473047360999</v>
      </c>
      <c r="C88" s="1">
        <v>104.825866657969</v>
      </c>
      <c r="D88" s="1">
        <v>8.6176294680873724</v>
      </c>
      <c r="E88" s="1">
        <v>104.825868524358</v>
      </c>
      <c r="H88" s="24">
        <v>12</v>
      </c>
      <c r="I88" s="24">
        <v>128.63716378807101</v>
      </c>
      <c r="J88" s="1">
        <v>4.3859736168993937</v>
      </c>
      <c r="K88" s="1">
        <v>98.855534834109505</v>
      </c>
      <c r="L88" s="1">
        <v>2.4007649023037945</v>
      </c>
      <c r="M88" s="1">
        <v>105.671699630794</v>
      </c>
    </row>
    <row r="89" spans="1:13">
      <c r="A89" s="2"/>
      <c r="H89" s="24">
        <v>16</v>
      </c>
      <c r="I89" s="24">
        <v>152.70901889044001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B71:M78">
    <sortCondition ref="B71:B7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2B60-826B-4424-9886-BFE28C64DC52}">
  <dimension ref="A1:Z113"/>
  <sheetViews>
    <sheetView workbookViewId="0">
      <selection activeCell="K53" sqref="K53"/>
    </sheetView>
  </sheetViews>
  <sheetFormatPr defaultColWidth="8.7109375" defaultRowHeight="15"/>
  <cols>
    <col min="1" max="1" width="8.7109375" style="5"/>
    <col min="2" max="7" width="8.7109375" style="1"/>
    <col min="8" max="8" width="10.42578125" style="24" customWidth="1"/>
    <col min="9" max="9" width="8.7109375" style="24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23" customWidth="1"/>
    <col min="19" max="19" width="16.42578125" style="23" customWidth="1"/>
    <col min="20" max="20" width="16.42578125" customWidth="1"/>
  </cols>
  <sheetData>
    <row r="1" spans="1:26">
      <c r="A1" s="5" t="s">
        <v>48</v>
      </c>
      <c r="Y1" t="s">
        <v>44</v>
      </c>
      <c r="Z1" t="s">
        <v>45</v>
      </c>
    </row>
    <row r="2" spans="1:26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4" t="s">
        <v>7</v>
      </c>
      <c r="I2" s="24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21</v>
      </c>
      <c r="Q2" s="1" t="s">
        <v>22</v>
      </c>
      <c r="R2" s="24" t="s">
        <v>23</v>
      </c>
      <c r="S2" s="24" t="s">
        <v>24</v>
      </c>
      <c r="T2" s="1" t="s">
        <v>46</v>
      </c>
      <c r="Y2">
        <f>9*500*500*500*4*100/(1024*1024*1024)</f>
        <v>419.09515857696533</v>
      </c>
      <c r="Z2">
        <v>1</v>
      </c>
    </row>
    <row r="3" spans="1:26">
      <c r="A3" s="25">
        <v>0.01</v>
      </c>
      <c r="B3">
        <v>28.110741520000001</v>
      </c>
      <c r="C3">
        <v>1.1383548880000001</v>
      </c>
      <c r="D3">
        <v>45.353346379999998</v>
      </c>
      <c r="E3"/>
      <c r="F3">
        <v>43.894444440000001</v>
      </c>
      <c r="G3">
        <v>43.894444440000001</v>
      </c>
      <c r="H3">
        <v>7.8401847780000002</v>
      </c>
      <c r="I3">
        <v>44.129428470000001</v>
      </c>
      <c r="J3">
        <v>1.522777601</v>
      </c>
      <c r="K3">
        <v>207.92977859999999</v>
      </c>
      <c r="L3">
        <v>123.618431</v>
      </c>
      <c r="M3">
        <v>1.5240995610000001</v>
      </c>
      <c r="N3">
        <v>299.8355593</v>
      </c>
      <c r="O3">
        <v>164.02787219999999</v>
      </c>
      <c r="P3">
        <f t="shared" ref="P3:P9" si="0">B3*M3</f>
        <v>42.843568810016478</v>
      </c>
      <c r="Q3">
        <f t="shared" ref="Q3:Q9" si="1">C3/M3</f>
        <v>0.74690323199955311</v>
      </c>
      <c r="R3" s="23">
        <f t="shared" ref="R3:R9" si="2">1/(1/H3+1/(N3*B3))</f>
        <v>7.8328987074901804</v>
      </c>
      <c r="S3" s="23">
        <f t="shared" ref="S3:S9" si="3">1/(1/I3+1/(O3*B3))</f>
        <v>43.711087917585211</v>
      </c>
      <c r="T3">
        <f>$Y$2/R3+$Y$2/S3+$Y$2/($Z$2*P3)</f>
        <v>72.874309038443826</v>
      </c>
    </row>
    <row r="4" spans="1:26">
      <c r="A4" s="25">
        <v>5.0000000000000001E-3</v>
      </c>
      <c r="B4">
        <v>26.85443545</v>
      </c>
      <c r="C4">
        <v>1.1916094850000001</v>
      </c>
      <c r="D4">
        <v>52.131830119999996</v>
      </c>
      <c r="E4"/>
      <c r="F4">
        <v>43.617777779999997</v>
      </c>
      <c r="G4">
        <v>43.617777779999997</v>
      </c>
      <c r="H4">
        <v>7.8615656339999997</v>
      </c>
      <c r="I4">
        <v>43.852136219999998</v>
      </c>
      <c r="J4">
        <v>1.3922468160000001</v>
      </c>
      <c r="K4">
        <v>209.69615020000001</v>
      </c>
      <c r="L4">
        <v>130.3271934</v>
      </c>
      <c r="M4">
        <v>1.3929874900000001</v>
      </c>
      <c r="N4">
        <v>285.45897159999998</v>
      </c>
      <c r="O4">
        <v>172.73866860000001</v>
      </c>
      <c r="P4">
        <f t="shared" si="0"/>
        <v>37.407892632862527</v>
      </c>
      <c r="Q4">
        <f t="shared" si="1"/>
        <v>0.85543444830218829</v>
      </c>
      <c r="R4" s="23">
        <f t="shared" si="2"/>
        <v>7.8535116045980207</v>
      </c>
      <c r="S4" s="23">
        <f t="shared" si="3"/>
        <v>43.441469351954289</v>
      </c>
      <c r="T4">
        <f t="shared" ref="T4:T9" si="4">$Y$2/R4+$Y$2/S4+$Y$2/($Z$2*P4)</f>
        <v>74.214787418306699</v>
      </c>
    </row>
    <row r="5" spans="1:26">
      <c r="A5" s="25">
        <v>1E-3</v>
      </c>
      <c r="B5">
        <v>23.40318066</v>
      </c>
      <c r="C5">
        <v>1.3673355110000001</v>
      </c>
      <c r="D5">
        <v>66.169708659999998</v>
      </c>
      <c r="E5"/>
      <c r="F5">
        <v>42.052222219999997</v>
      </c>
      <c r="G5">
        <v>42.052222219999997</v>
      </c>
      <c r="H5">
        <v>7.9511857839999998</v>
      </c>
      <c r="I5">
        <v>42.285901549999998</v>
      </c>
      <c r="J5">
        <v>1.218143564</v>
      </c>
      <c r="K5">
        <v>213.9363721</v>
      </c>
      <c r="L5">
        <v>147.61136819999999</v>
      </c>
      <c r="M5">
        <v>1.2170527950000001</v>
      </c>
      <c r="N5">
        <v>267.65441070000003</v>
      </c>
      <c r="O5">
        <v>198.75969430000001</v>
      </c>
      <c r="P5">
        <f t="shared" si="0"/>
        <v>28.482906434142947</v>
      </c>
      <c r="Q5">
        <f t="shared" si="1"/>
        <v>1.1234808519543311</v>
      </c>
      <c r="R5" s="23">
        <f t="shared" si="2"/>
        <v>7.9411057130525933</v>
      </c>
      <c r="S5" s="23">
        <f t="shared" si="3"/>
        <v>41.904960456390285</v>
      </c>
      <c r="T5">
        <f t="shared" si="4"/>
        <v>77.490421526658608</v>
      </c>
    </row>
    <row r="6" spans="1:26">
      <c r="A6" s="25">
        <v>5.0000000000000001E-4</v>
      </c>
      <c r="B6">
        <v>21.587223890000001</v>
      </c>
      <c r="C6">
        <v>1.4823582769999999</v>
      </c>
      <c r="D6">
        <v>71.896566500000006</v>
      </c>
      <c r="E6"/>
      <c r="F6">
        <v>41.278888889999998</v>
      </c>
      <c r="G6">
        <v>41.278888889999998</v>
      </c>
      <c r="H6">
        <v>7.9281562069999998</v>
      </c>
      <c r="I6">
        <v>41.511922419999998</v>
      </c>
      <c r="J6">
        <v>1.1728512600000001</v>
      </c>
      <c r="K6">
        <v>216.05249839999999</v>
      </c>
      <c r="L6">
        <v>152.6183753</v>
      </c>
      <c r="M6">
        <v>1.1739791429999999</v>
      </c>
      <c r="N6">
        <v>252.39850100000001</v>
      </c>
      <c r="O6">
        <v>200.4864144</v>
      </c>
      <c r="P6">
        <f t="shared" si="0"/>
        <v>25.342950602131324</v>
      </c>
      <c r="Q6">
        <f t="shared" si="1"/>
        <v>1.262678545729496</v>
      </c>
      <c r="R6" s="23">
        <f t="shared" si="2"/>
        <v>7.9166368204153503</v>
      </c>
      <c r="S6" s="23">
        <f t="shared" si="3"/>
        <v>41.117539390616408</v>
      </c>
      <c r="T6">
        <f t="shared" si="4"/>
        <v>79.668100244865258</v>
      </c>
    </row>
    <row r="7" spans="1:26">
      <c r="A7" s="25">
        <v>1E-4</v>
      </c>
      <c r="B7">
        <v>17.374367660000001</v>
      </c>
      <c r="C7">
        <v>1.8417936479999999</v>
      </c>
      <c r="D7">
        <v>85.100552649999997</v>
      </c>
      <c r="E7"/>
      <c r="F7">
        <v>39.063333329999999</v>
      </c>
      <c r="G7">
        <v>39.063333329999999</v>
      </c>
      <c r="H7">
        <v>7.8504133329999997</v>
      </c>
      <c r="I7">
        <v>39.305372980000001</v>
      </c>
      <c r="J7">
        <v>1.09295539</v>
      </c>
      <c r="K7">
        <v>222.2377395</v>
      </c>
      <c r="L7">
        <v>149.75158039999999</v>
      </c>
      <c r="M7">
        <v>1.0938370909999999</v>
      </c>
      <c r="N7">
        <v>243.4589076</v>
      </c>
      <c r="O7">
        <v>208.5742731</v>
      </c>
      <c r="P7">
        <f t="shared" si="0"/>
        <v>19.004727779178875</v>
      </c>
      <c r="Q7">
        <f t="shared" si="1"/>
        <v>1.6837915473466059</v>
      </c>
      <c r="R7" s="23">
        <f t="shared" si="2"/>
        <v>7.8358706310216109</v>
      </c>
      <c r="S7" s="23">
        <f t="shared" si="3"/>
        <v>38.883628928661835</v>
      </c>
      <c r="T7">
        <f t="shared" si="4"/>
        <v>86.314528667327451</v>
      </c>
    </row>
    <row r="8" spans="1:26">
      <c r="A8" s="25">
        <v>5.0000000000000002E-5</v>
      </c>
      <c r="B8">
        <v>15.51464417</v>
      </c>
      <c r="C8">
        <v>2.0625674460000001</v>
      </c>
      <c r="D8">
        <v>91.098161790000006</v>
      </c>
      <c r="E8"/>
      <c r="F8">
        <v>37.893333329999997</v>
      </c>
      <c r="G8">
        <v>37.893333329999997</v>
      </c>
      <c r="H8">
        <v>7.8175518180000001</v>
      </c>
      <c r="I8">
        <v>38.128543430000001</v>
      </c>
      <c r="J8">
        <v>1.0701331119999999</v>
      </c>
      <c r="K8">
        <v>229.16174649999999</v>
      </c>
      <c r="L8">
        <v>140.91708310000001</v>
      </c>
      <c r="M8">
        <v>1.0695306840000001</v>
      </c>
      <c r="N8">
        <v>238.49939520000001</v>
      </c>
      <c r="O8">
        <v>213.35083059999999</v>
      </c>
      <c r="P8">
        <f t="shared" si="0"/>
        <v>16.593387991156714</v>
      </c>
      <c r="Q8">
        <f t="shared" si="1"/>
        <v>1.9284789832172782</v>
      </c>
      <c r="R8" s="23">
        <f t="shared" si="2"/>
        <v>7.8010703511398587</v>
      </c>
      <c r="S8" s="23">
        <f t="shared" si="3"/>
        <v>37.694343013490169</v>
      </c>
      <c r="T8">
        <f t="shared" si="4"/>
        <v>90.097783647264805</v>
      </c>
    </row>
    <row r="9" spans="1:26">
      <c r="A9" s="25">
        <v>1.0000000000000001E-5</v>
      </c>
      <c r="B9">
        <v>11.08172815</v>
      </c>
      <c r="C9">
        <v>2.887636257</v>
      </c>
      <c r="D9">
        <v>105.0871836</v>
      </c>
      <c r="E9"/>
      <c r="F9">
        <v>36.611111110000003</v>
      </c>
      <c r="G9">
        <v>36.611111110000003</v>
      </c>
      <c r="H9">
        <v>7.822254117</v>
      </c>
      <c r="I9">
        <v>36.918647890000003</v>
      </c>
      <c r="J9">
        <v>1.038055065</v>
      </c>
      <c r="K9">
        <v>226.1981309</v>
      </c>
      <c r="L9">
        <v>164.95945879999999</v>
      </c>
      <c r="M9">
        <v>1.038358077</v>
      </c>
      <c r="N9">
        <v>228.04340239999999</v>
      </c>
      <c r="O9">
        <v>228.54820649999999</v>
      </c>
      <c r="P9">
        <f t="shared" si="0"/>
        <v>11.506801931670768</v>
      </c>
      <c r="Q9">
        <f t="shared" si="1"/>
        <v>2.7809638321906172</v>
      </c>
      <c r="R9" s="23">
        <f t="shared" si="2"/>
        <v>7.7981163756931773</v>
      </c>
      <c r="S9" s="23">
        <f t="shared" si="3"/>
        <v>36.388226093870948</v>
      </c>
      <c r="T9">
        <f t="shared" si="4"/>
        <v>101.6819705695315</v>
      </c>
    </row>
    <row r="10" spans="1:26">
      <c r="A10" s="4"/>
    </row>
    <row r="11" spans="1:26">
      <c r="A11" s="4" t="s">
        <v>49</v>
      </c>
    </row>
    <row r="12" spans="1:26" ht="13.5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24" t="s">
        <v>7</v>
      </c>
      <c r="I12" s="24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21</v>
      </c>
      <c r="Q12" s="1" t="s">
        <v>22</v>
      </c>
      <c r="R12" s="24" t="s">
        <v>23</v>
      </c>
      <c r="S12" s="24" t="s">
        <v>24</v>
      </c>
      <c r="T12" s="1" t="s">
        <v>46</v>
      </c>
    </row>
    <row r="13" spans="1:26">
      <c r="A13" s="25">
        <v>0.01</v>
      </c>
      <c r="B13">
        <v>29.614486629419002</v>
      </c>
      <c r="C13">
        <v>1.0805522445967699</v>
      </c>
      <c r="D13">
        <v>61.857573171242201</v>
      </c>
      <c r="E13"/>
      <c r="F13">
        <v>7.85</v>
      </c>
      <c r="G13">
        <v>7.85</v>
      </c>
      <c r="H13">
        <v>7.7241239306049403</v>
      </c>
      <c r="I13">
        <v>7.8769420123338101</v>
      </c>
      <c r="J13">
        <v>8.4741051584977107</v>
      </c>
      <c r="K13">
        <v>237.92413938396501</v>
      </c>
      <c r="L13">
        <v>128.46736333725201</v>
      </c>
      <c r="M13">
        <v>8.5093345426871903</v>
      </c>
      <c r="N13">
        <v>366.06941646696703</v>
      </c>
      <c r="O13">
        <v>217.27666417830901</v>
      </c>
      <c r="P13">
        <f t="shared" ref="P13:P19" si="5">B13*M13</f>
        <v>251.99957403966306</v>
      </c>
      <c r="Q13">
        <f t="shared" ref="Q13:Q19" si="6">C13/M13</f>
        <v>0.12698434162814556</v>
      </c>
      <c r="R13" s="23">
        <f t="shared" ref="R13:R19" si="7">1/(1/H13+1/(N13*B13))</f>
        <v>7.7186244523552316</v>
      </c>
      <c r="S13" s="23">
        <f t="shared" ref="S13:S19" si="8">1/(1/I13+1/(O13*B13))</f>
        <v>7.8673111166303018</v>
      </c>
      <c r="T13">
        <f>$Y$2/R13+$Y$2/S13+$Y$2/($Z$2*P13)</f>
        <v>109.23013532670259</v>
      </c>
    </row>
    <row r="14" spans="1:26">
      <c r="A14" s="25">
        <v>5.0000000000000001E-3</v>
      </c>
      <c r="B14">
        <v>29.514246815965599</v>
      </c>
      <c r="C14">
        <v>1.08422214530948</v>
      </c>
      <c r="D14">
        <v>65.609697449833703</v>
      </c>
      <c r="E14"/>
      <c r="F14">
        <v>7.6955555555555497</v>
      </c>
      <c r="G14">
        <v>7.6955555555555497</v>
      </c>
      <c r="H14">
        <v>7.7431544677779103</v>
      </c>
      <c r="I14">
        <v>7.7237038111625003</v>
      </c>
      <c r="J14">
        <v>7.6351037288407797</v>
      </c>
      <c r="K14">
        <v>240.055937112061</v>
      </c>
      <c r="L14">
        <v>129.461656966497</v>
      </c>
      <c r="M14">
        <v>7.6643992827532497</v>
      </c>
      <c r="N14">
        <v>365.06626087833399</v>
      </c>
      <c r="O14">
        <v>216.90699293924499</v>
      </c>
      <c r="P14">
        <f t="shared" si="5"/>
        <v>226.20897212728912</v>
      </c>
      <c r="Q14">
        <f t="shared" si="6"/>
        <v>0.1414621166396226</v>
      </c>
      <c r="R14" s="23">
        <f t="shared" si="7"/>
        <v>7.7375938831838109</v>
      </c>
      <c r="S14" s="23">
        <f t="shared" si="8"/>
        <v>7.71439654118553</v>
      </c>
      <c r="T14">
        <f t="shared" ref="T14:T19" si="9">$Y$2/R14+$Y$2/S14+$Y$2/($Z$2*P14)</f>
        <v>110.34255896819671</v>
      </c>
    </row>
    <row r="15" spans="1:26">
      <c r="A15" s="25">
        <v>1E-3</v>
      </c>
      <c r="B15">
        <v>28.921079507062601</v>
      </c>
      <c r="C15">
        <v>1.10645939036215</v>
      </c>
      <c r="D15">
        <v>76.007988296260706</v>
      </c>
      <c r="E15"/>
      <c r="F15">
        <v>7.7488888888888798</v>
      </c>
      <c r="G15">
        <v>7.7488888888888798</v>
      </c>
      <c r="H15">
        <v>7.8408960082168999</v>
      </c>
      <c r="I15">
        <v>7.7734083493943498</v>
      </c>
      <c r="J15">
        <v>4.8439205774535203</v>
      </c>
      <c r="K15">
        <v>225.911810550703</v>
      </c>
      <c r="L15">
        <v>129.91072092744801</v>
      </c>
      <c r="M15">
        <v>4.85416559358368</v>
      </c>
      <c r="N15">
        <v>359.65643692678498</v>
      </c>
      <c r="O15">
        <v>215.00015097037499</v>
      </c>
      <c r="P15">
        <f t="shared" si="5"/>
        <v>140.38770907248133</v>
      </c>
      <c r="Q15">
        <f t="shared" si="6"/>
        <v>0.22794018230953786</v>
      </c>
      <c r="R15" s="23">
        <f t="shared" si="7"/>
        <v>7.8349898945936332</v>
      </c>
      <c r="S15" s="23">
        <f t="shared" si="8"/>
        <v>7.763702643848915</v>
      </c>
      <c r="T15">
        <f t="shared" si="9"/>
        <v>110.45681844831489</v>
      </c>
    </row>
    <row r="16" spans="1:26">
      <c r="A16" s="25">
        <v>5.0000000000000001E-4</v>
      </c>
      <c r="B16">
        <v>28.458984040092599</v>
      </c>
      <c r="C16">
        <v>1.1244252414253</v>
      </c>
      <c r="D16">
        <v>80.103432534064893</v>
      </c>
      <c r="E16"/>
      <c r="F16">
        <v>7.6311111111111103</v>
      </c>
      <c r="G16">
        <v>7.6311111111111103</v>
      </c>
      <c r="H16">
        <v>7.6802717032832399</v>
      </c>
      <c r="I16">
        <v>7.6566619993165803</v>
      </c>
      <c r="J16">
        <v>3.96418325956166</v>
      </c>
      <c r="K16">
        <v>224.63395922969599</v>
      </c>
      <c r="L16">
        <v>131.312691851431</v>
      </c>
      <c r="M16">
        <v>3.9703620926248702</v>
      </c>
      <c r="N16">
        <v>354.97048271821802</v>
      </c>
      <c r="O16">
        <v>209.148419760428</v>
      </c>
      <c r="P16">
        <f t="shared" si="5"/>
        <v>112.99247142739983</v>
      </c>
      <c r="Q16">
        <f t="shared" si="6"/>
        <v>0.28320470909038031</v>
      </c>
      <c r="R16" s="23">
        <f t="shared" si="7"/>
        <v>7.6744370979880392</v>
      </c>
      <c r="S16" s="23">
        <f t="shared" si="8"/>
        <v>7.6468253617965383</v>
      </c>
      <c r="T16">
        <f t="shared" si="9"/>
        <v>113.12471610608134</v>
      </c>
    </row>
    <row r="17" spans="1:20">
      <c r="A17" s="25">
        <v>1E-4</v>
      </c>
      <c r="B17">
        <v>26.0921218016443</v>
      </c>
      <c r="C17">
        <v>1.2264238318089999</v>
      </c>
      <c r="D17">
        <v>91.3405196923933</v>
      </c>
      <c r="E17"/>
      <c r="F17">
        <v>7.3944444444444404</v>
      </c>
      <c r="G17">
        <v>7.3944444444444404</v>
      </c>
      <c r="H17">
        <v>7.7967684912495097</v>
      </c>
      <c r="I17">
        <v>7.4184549056119904</v>
      </c>
      <c r="J17">
        <v>2.2631384189687598</v>
      </c>
      <c r="K17">
        <v>227.995775538733</v>
      </c>
      <c r="L17">
        <v>134.65022450766199</v>
      </c>
      <c r="M17">
        <v>2.2641362022839902</v>
      </c>
      <c r="N17">
        <v>335.27020802506598</v>
      </c>
      <c r="O17">
        <v>194.57674655579899</v>
      </c>
      <c r="P17">
        <f t="shared" si="5"/>
        <v>59.07611756550623</v>
      </c>
      <c r="Q17">
        <f t="shared" si="6"/>
        <v>0.54167405237009225</v>
      </c>
      <c r="R17" s="23">
        <f t="shared" si="7"/>
        <v>7.789825637537434</v>
      </c>
      <c r="S17" s="23">
        <f t="shared" si="8"/>
        <v>7.4076307891954984</v>
      </c>
      <c r="T17">
        <f t="shared" si="9"/>
        <v>117.4706216431135</v>
      </c>
    </row>
    <row r="18" spans="1:20">
      <c r="A18" s="25">
        <v>5.0000000000000002E-5</v>
      </c>
      <c r="B18">
        <v>24.4229560491329</v>
      </c>
      <c r="C18">
        <v>1.3102427050854799</v>
      </c>
      <c r="D18">
        <v>95.840483084780203</v>
      </c>
      <c r="E18"/>
      <c r="F18">
        <v>7.2033333333333296</v>
      </c>
      <c r="G18">
        <v>7.2033333333333296</v>
      </c>
      <c r="H18">
        <v>7.812599417575</v>
      </c>
      <c r="I18">
        <v>7.2245149337346204</v>
      </c>
      <c r="J18">
        <v>1.8272748659629501</v>
      </c>
      <c r="K18">
        <v>232.31882627073</v>
      </c>
      <c r="L18">
        <v>142.88812719986501</v>
      </c>
      <c r="M18">
        <v>1.8316395483715999</v>
      </c>
      <c r="N18">
        <v>323.69197536557101</v>
      </c>
      <c r="O18">
        <v>186.59982505441599</v>
      </c>
      <c r="P18">
        <f t="shared" si="5"/>
        <v>44.734052187733219</v>
      </c>
      <c r="Q18">
        <f t="shared" si="6"/>
        <v>0.71533872821775313</v>
      </c>
      <c r="R18" s="23">
        <f t="shared" si="7"/>
        <v>7.8048862640680827</v>
      </c>
      <c r="S18" s="23">
        <f t="shared" si="8"/>
        <v>7.2130803593618689</v>
      </c>
      <c r="T18">
        <f t="shared" si="9"/>
        <v>121.16721020647648</v>
      </c>
    </row>
    <row r="19" spans="1:20">
      <c r="A19" s="25">
        <v>1.0000000000000001E-5</v>
      </c>
      <c r="B19">
        <v>18.6864092932224</v>
      </c>
      <c r="C19">
        <v>1.7124745315091801</v>
      </c>
      <c r="D19">
        <v>108.176584634162</v>
      </c>
      <c r="E19"/>
      <c r="F19">
        <v>7.3777777777777702</v>
      </c>
      <c r="G19">
        <v>7.3777777777777702</v>
      </c>
      <c r="H19">
        <v>7.79905388498213</v>
      </c>
      <c r="I19">
        <v>7.4004801992864397</v>
      </c>
      <c r="J19">
        <v>1.31683201604108</v>
      </c>
      <c r="K19">
        <v>245.718160204951</v>
      </c>
      <c r="L19">
        <v>142.02202743807001</v>
      </c>
      <c r="M19">
        <v>1.3173532018549401</v>
      </c>
      <c r="N19">
        <v>289.53361052174699</v>
      </c>
      <c r="O19">
        <v>190.66200760012799</v>
      </c>
      <c r="P19">
        <f t="shared" si="5"/>
        <v>24.616601113598438</v>
      </c>
      <c r="Q19">
        <f t="shared" si="6"/>
        <v>1.2999357568629863</v>
      </c>
      <c r="R19" s="23">
        <f t="shared" si="7"/>
        <v>7.7878276685563623</v>
      </c>
      <c r="S19" s="23">
        <f t="shared" si="8"/>
        <v>7.3851400841306551</v>
      </c>
      <c r="T19">
        <f t="shared" si="9"/>
        <v>127.58746514273069</v>
      </c>
    </row>
    <row r="20" spans="1:20">
      <c r="A20" s="4"/>
    </row>
    <row r="21" spans="1:20">
      <c r="A21" s="4"/>
    </row>
    <row r="22" spans="1:20">
      <c r="A22" s="4" t="s">
        <v>50</v>
      </c>
      <c r="E22" s="2"/>
    </row>
    <row r="23" spans="1:20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24" t="s">
        <v>7</v>
      </c>
      <c r="I23" s="24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21</v>
      </c>
      <c r="Q23" s="1" t="s">
        <v>22</v>
      </c>
      <c r="R23" s="24" t="s">
        <v>23</v>
      </c>
      <c r="S23" s="24" t="s">
        <v>24</v>
      </c>
      <c r="T23" s="1" t="s">
        <v>46</v>
      </c>
    </row>
    <row r="24" spans="1:20">
      <c r="A24" s="25">
        <v>0.01</v>
      </c>
      <c r="B24">
        <v>7.1883465733352603</v>
      </c>
      <c r="C24">
        <v>4.4516495794320798</v>
      </c>
      <c r="D24">
        <v>45.353346371752302</v>
      </c>
      <c r="E24"/>
      <c r="F24">
        <v>74.145186333333299</v>
      </c>
      <c r="G24">
        <v>155.89162577777699</v>
      </c>
      <c r="H24">
        <v>77.969704259402704</v>
      </c>
      <c r="I24">
        <v>162.57539560955601</v>
      </c>
      <c r="J24">
        <v>2.6204329942160198</v>
      </c>
      <c r="K24">
        <v>325.950221525828</v>
      </c>
      <c r="L24">
        <v>254.16644476503501</v>
      </c>
      <c r="M24">
        <v>2.6233709247293699</v>
      </c>
      <c r="N24">
        <v>388.93180019273802</v>
      </c>
      <c r="O24">
        <v>302.76227485220699</v>
      </c>
      <c r="P24">
        <f t="shared" ref="P24:P30" si="10">B24*M24</f>
        <v>18.857699397365721</v>
      </c>
      <c r="Q24">
        <f t="shared" ref="Q24:Q30" si="11">C24/M24</f>
        <v>1.6969196149382944</v>
      </c>
      <c r="R24" s="23">
        <f t="shared" ref="R24:R30" si="12">1/(1/H24+1/(N24*B24))</f>
        <v>75.854251399130433</v>
      </c>
      <c r="S24" s="23">
        <f t="shared" ref="S24:S30" si="13">1/(1/I24+1/(O24*B24))</f>
        <v>151.27505893150467</v>
      </c>
      <c r="T24">
        <f>$Y$2/R24+$Y$2/S24+$Y$2/($Z$2*P24)</f>
        <v>30.519510960678993</v>
      </c>
    </row>
    <row r="25" spans="1:20">
      <c r="A25" s="25">
        <v>5.0000000000000001E-3</v>
      </c>
      <c r="B25">
        <v>6.0937208502811</v>
      </c>
      <c r="C25">
        <v>5.2513071711389303</v>
      </c>
      <c r="D25">
        <v>52.131831307831298</v>
      </c>
      <c r="E25"/>
      <c r="F25">
        <v>70.388816888888897</v>
      </c>
      <c r="G25">
        <v>138.131949555555</v>
      </c>
      <c r="H25">
        <v>73.733340527569098</v>
      </c>
      <c r="I25">
        <v>142.79547409367299</v>
      </c>
      <c r="J25">
        <v>2.3934939822290699</v>
      </c>
      <c r="K25">
        <v>328.32062757541598</v>
      </c>
      <c r="L25">
        <v>255.31861713345401</v>
      </c>
      <c r="M25">
        <v>2.3968672915182099</v>
      </c>
      <c r="N25">
        <v>381.63899518599902</v>
      </c>
      <c r="O25">
        <v>297.07346279161499</v>
      </c>
      <c r="P25">
        <f t="shared" si="10"/>
        <v>14.605840189681302</v>
      </c>
      <c r="Q25">
        <f t="shared" si="11"/>
        <v>2.1909044316811874</v>
      </c>
      <c r="R25" s="23">
        <f t="shared" si="12"/>
        <v>71.467460247569662</v>
      </c>
      <c r="S25" s="23">
        <f t="shared" si="13"/>
        <v>132.35526380131208</v>
      </c>
      <c r="T25">
        <f t="shared" ref="T25:T30" si="14">$Y$2/R25+$Y$2/S25+$Y$2/($Z$2*P25)</f>
        <v>37.724250721277869</v>
      </c>
    </row>
    <row r="26" spans="1:20">
      <c r="A26" s="25">
        <v>1E-3</v>
      </c>
      <c r="B26">
        <v>4.4646429283557696</v>
      </c>
      <c r="C26">
        <v>7.1674264915480901</v>
      </c>
      <c r="D26">
        <v>66.169667804015702</v>
      </c>
      <c r="E26"/>
      <c r="F26">
        <v>62.021992333333301</v>
      </c>
      <c r="G26">
        <v>118.161502555555</v>
      </c>
      <c r="H26">
        <v>64.422931852725995</v>
      </c>
      <c r="I26">
        <v>121.341112824924</v>
      </c>
      <c r="J26">
        <v>1.9712544688086799</v>
      </c>
      <c r="K26">
        <v>325.159412452531</v>
      </c>
      <c r="L26">
        <v>242.02208847311601</v>
      </c>
      <c r="M26">
        <v>1.9726561663489499</v>
      </c>
      <c r="N26">
        <v>361.942296480555</v>
      </c>
      <c r="O26">
        <v>276.675502062129</v>
      </c>
      <c r="P26">
        <f t="shared" si="10"/>
        <v>8.8072054031672415</v>
      </c>
      <c r="Q26">
        <f t="shared" si="11"/>
        <v>3.6333886329586642</v>
      </c>
      <c r="R26" s="23">
        <f t="shared" si="12"/>
        <v>61.953044914923908</v>
      </c>
      <c r="S26" s="23">
        <f t="shared" si="13"/>
        <v>110.4877421701773</v>
      </c>
      <c r="T26">
        <f t="shared" si="14"/>
        <v>58.143346710213592</v>
      </c>
    </row>
    <row r="27" spans="1:20">
      <c r="A27" s="25">
        <v>5.0000000000000001E-4</v>
      </c>
      <c r="B27">
        <v>3.9758824980291401</v>
      </c>
      <c r="C27">
        <v>8.0485275950339101</v>
      </c>
      <c r="D27">
        <v>71.896421203747806</v>
      </c>
      <c r="E27"/>
      <c r="F27">
        <v>58.707835222222201</v>
      </c>
      <c r="G27">
        <v>113.173723</v>
      </c>
      <c r="H27">
        <v>60.849567371295301</v>
      </c>
      <c r="I27">
        <v>115.693907175142</v>
      </c>
      <c r="J27">
        <v>1.83778225303345</v>
      </c>
      <c r="K27">
        <v>320.60825265219398</v>
      </c>
      <c r="L27">
        <v>231.865859486213</v>
      </c>
      <c r="M27">
        <v>1.8403304742708899</v>
      </c>
      <c r="N27">
        <v>351.85829143925503</v>
      </c>
      <c r="O27">
        <v>266.61602667871801</v>
      </c>
      <c r="P27">
        <f t="shared" si="10"/>
        <v>7.3169377232432975</v>
      </c>
      <c r="Q27">
        <f t="shared" si="11"/>
        <v>4.3734142902907758</v>
      </c>
      <c r="R27" s="23">
        <f t="shared" si="12"/>
        <v>58.313139099629609</v>
      </c>
      <c r="S27" s="23">
        <f t="shared" si="13"/>
        <v>104.30940218705564</v>
      </c>
      <c r="T27">
        <f t="shared" si="14"/>
        <v>68.482183155988864</v>
      </c>
    </row>
    <row r="28" spans="1:20">
      <c r="A28" s="25">
        <v>1E-4</v>
      </c>
      <c r="B28">
        <v>3.125671505793</v>
      </c>
      <c r="C28">
        <v>10.237800082539801</v>
      </c>
      <c r="D28">
        <v>85.100552075490199</v>
      </c>
      <c r="E28"/>
      <c r="F28">
        <v>51.752741333333297</v>
      </c>
      <c r="G28">
        <v>104.84671266666599</v>
      </c>
      <c r="H28">
        <v>53.312474062521098</v>
      </c>
      <c r="I28">
        <v>106.79355531289499</v>
      </c>
      <c r="J28">
        <v>1.6110683930854</v>
      </c>
      <c r="K28">
        <v>314.84245214981598</v>
      </c>
      <c r="L28">
        <v>215.49852712518799</v>
      </c>
      <c r="M28">
        <v>1.6102666997659101</v>
      </c>
      <c r="N28">
        <v>334.90480014868001</v>
      </c>
      <c r="O28">
        <v>245.92671706095999</v>
      </c>
      <c r="P28">
        <f t="shared" si="10"/>
        <v>5.0331647401856365</v>
      </c>
      <c r="Q28">
        <f t="shared" si="11"/>
        <v>6.3578288515983745</v>
      </c>
      <c r="R28" s="23">
        <f t="shared" si="12"/>
        <v>50.728907581431677</v>
      </c>
      <c r="S28" s="23">
        <f t="shared" si="13"/>
        <v>93.766567227113313</v>
      </c>
      <c r="T28">
        <f t="shared" si="14"/>
        <v>95.997752610889265</v>
      </c>
    </row>
    <row r="29" spans="1:20">
      <c r="A29" s="25">
        <v>5.0000000000000002E-5</v>
      </c>
      <c r="B29">
        <v>2.8674231906419001</v>
      </c>
      <c r="C29">
        <v>11.1598455729991</v>
      </c>
      <c r="D29">
        <v>91.0981568807358</v>
      </c>
      <c r="E29"/>
      <c r="F29">
        <v>49.376858555555501</v>
      </c>
      <c r="G29">
        <v>102.017833555555</v>
      </c>
      <c r="H29">
        <v>50.647007050636802</v>
      </c>
      <c r="I29">
        <v>103.83611481376199</v>
      </c>
      <c r="J29">
        <v>1.54006780875355</v>
      </c>
      <c r="K29">
        <v>311.30656326669998</v>
      </c>
      <c r="L29">
        <v>210.976320540568</v>
      </c>
      <c r="M29">
        <v>1.54307184896349</v>
      </c>
      <c r="N29">
        <v>328.29691631683102</v>
      </c>
      <c r="O29">
        <v>242.30320705266999</v>
      </c>
      <c r="P29">
        <f t="shared" si="10"/>
        <v>4.4246400045445871</v>
      </c>
      <c r="Q29">
        <f t="shared" si="11"/>
        <v>7.2322267952042383</v>
      </c>
      <c r="R29" s="23">
        <f t="shared" si="12"/>
        <v>48.061235684340943</v>
      </c>
      <c r="S29" s="23">
        <f t="shared" si="13"/>
        <v>90.335435623577354</v>
      </c>
      <c r="T29">
        <f t="shared" si="14"/>
        <v>108.07782256620416</v>
      </c>
    </row>
    <row r="30" spans="1:20">
      <c r="A30" s="25">
        <v>1.0000000000000001E-5</v>
      </c>
      <c r="B30">
        <v>2.4049050415049402</v>
      </c>
      <c r="C30">
        <v>13.3061386822886</v>
      </c>
      <c r="D30">
        <v>105.08699246854</v>
      </c>
      <c r="E30"/>
      <c r="F30">
        <v>44.552136555555499</v>
      </c>
      <c r="G30">
        <v>96.324820444444399</v>
      </c>
      <c r="H30">
        <v>45.521963400183097</v>
      </c>
      <c r="I30">
        <v>97.739643242497394</v>
      </c>
      <c r="J30">
        <v>1.4349758743157099</v>
      </c>
      <c r="K30">
        <v>305.68103541319999</v>
      </c>
      <c r="L30">
        <v>205.336620017201</v>
      </c>
      <c r="M30">
        <v>1.43643808990945</v>
      </c>
      <c r="N30">
        <v>317.33201386519897</v>
      </c>
      <c r="O30">
        <v>237.39197230145299</v>
      </c>
      <c r="P30">
        <f t="shared" si="10"/>
        <v>3.4544972042329629</v>
      </c>
      <c r="Q30">
        <f t="shared" si="11"/>
        <v>9.2632872768831902</v>
      </c>
      <c r="R30" s="23">
        <f t="shared" si="12"/>
        <v>42.959440355510765</v>
      </c>
      <c r="S30" s="23">
        <f t="shared" si="13"/>
        <v>83.452479200511306</v>
      </c>
      <c r="T30">
        <f t="shared" si="14"/>
        <v>136.09627680472684</v>
      </c>
    </row>
    <row r="31" spans="1:20">
      <c r="A31" s="4"/>
    </row>
    <row r="32" spans="1:20">
      <c r="A32" s="4"/>
    </row>
    <row r="33" spans="1:20">
      <c r="A33" s="4" t="s">
        <v>51</v>
      </c>
      <c r="E33" s="2"/>
    </row>
    <row r="34" spans="1:20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24" t="s">
        <v>7</v>
      </c>
      <c r="I34" s="24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21</v>
      </c>
      <c r="Q34" s="1" t="s">
        <v>22</v>
      </c>
      <c r="R34" s="24" t="s">
        <v>23</v>
      </c>
      <c r="S34" s="24" t="s">
        <v>24</v>
      </c>
      <c r="T34" s="1" t="s">
        <v>46</v>
      </c>
    </row>
    <row r="35" spans="1:20">
      <c r="A35" s="25">
        <v>0.01</v>
      </c>
      <c r="B35">
        <v>19.508823639273398</v>
      </c>
      <c r="C35">
        <v>1.64028342209114</v>
      </c>
      <c r="D35">
        <v>24.815069155581401</v>
      </c>
      <c r="E35"/>
      <c r="F35"/>
      <c r="G35"/>
      <c r="H35">
        <v>259.48172602888502</v>
      </c>
      <c r="I35">
        <v>4625.9409297830398</v>
      </c>
      <c r="J35">
        <v>1.0189813824941301</v>
      </c>
      <c r="K35">
        <v>210.67528841528701</v>
      </c>
      <c r="L35">
        <v>180.54971713436899</v>
      </c>
      <c r="M35">
        <v>1.0210360090664099</v>
      </c>
      <c r="N35">
        <v>207.205047908045</v>
      </c>
      <c r="O35">
        <v>229.03721214757201</v>
      </c>
      <c r="P35">
        <f t="shared" ref="P35:P41" si="15">B35*M35</f>
        <v>19.919211430224145</v>
      </c>
      <c r="Q35">
        <f t="shared" ref="Q35:Q41" si="16">C35/M35</f>
        <v>1.6064892986398613</v>
      </c>
      <c r="R35" s="23">
        <f t="shared" ref="R35:R41" si="17">1/(1/H35+1/(N35*B35))</f>
        <v>243.82999101449752</v>
      </c>
      <c r="S35" s="23">
        <f t="shared" ref="S35:S41" si="18">1/(1/I35+1/(O35*B35))</f>
        <v>2272.8632671469795</v>
      </c>
      <c r="T35">
        <f>$Y$2/R35+$Y$2/S35+$Y$2/($Z$2*P35)</f>
        <v>22.942938013750467</v>
      </c>
    </row>
    <row r="36" spans="1:20">
      <c r="A36" s="25">
        <v>5.0000000000000001E-3</v>
      </c>
      <c r="B36">
        <v>15.603765590861199</v>
      </c>
      <c r="C36">
        <v>2.0507870240464001</v>
      </c>
      <c r="D36">
        <v>25.302982613946</v>
      </c>
      <c r="E36"/>
      <c r="F36"/>
      <c r="G36"/>
      <c r="H36">
        <v>250.20872937989299</v>
      </c>
      <c r="I36">
        <v>2932.8574889227798</v>
      </c>
      <c r="J36">
        <v>1.0161332359384501</v>
      </c>
      <c r="K36">
        <v>213.196491063336</v>
      </c>
      <c r="L36">
        <v>134.24255278178401</v>
      </c>
      <c r="M36">
        <v>1.01546577778779</v>
      </c>
      <c r="N36">
        <v>216.572659503257</v>
      </c>
      <c r="O36">
        <v>231.29680777451901</v>
      </c>
      <c r="P36">
        <f t="shared" si="15"/>
        <v>15.845089962142222</v>
      </c>
      <c r="Q36">
        <f t="shared" si="16"/>
        <v>2.0195530651107472</v>
      </c>
      <c r="R36" s="23">
        <f t="shared" si="17"/>
        <v>232.96023446290607</v>
      </c>
      <c r="S36" s="23">
        <f t="shared" si="18"/>
        <v>1618.0138009340887</v>
      </c>
      <c r="T36">
        <f t="shared" ref="T36:T41" si="19">$Y$2/R36+$Y$2/S36+$Y$2/($Z$2*P36)</f>
        <v>28.507545485037991</v>
      </c>
    </row>
    <row r="37" spans="1:20">
      <c r="A37" s="25">
        <v>1E-3</v>
      </c>
      <c r="B37">
        <v>9.3147387859785304</v>
      </c>
      <c r="C37">
        <v>3.4354157143053299</v>
      </c>
      <c r="D37">
        <v>26.009683904432201</v>
      </c>
      <c r="E37"/>
      <c r="F37"/>
      <c r="G37"/>
      <c r="H37">
        <v>213.38144932931601</v>
      </c>
      <c r="I37">
        <v>1394.43519691645</v>
      </c>
      <c r="J37">
        <v>1.0166115041083099</v>
      </c>
      <c r="K37">
        <v>232.01067289820699</v>
      </c>
      <c r="L37">
        <v>158.685380209724</v>
      </c>
      <c r="M37">
        <v>1.01662309182652</v>
      </c>
      <c r="N37">
        <v>250.46808046239701</v>
      </c>
      <c r="O37">
        <v>228.35216453129101</v>
      </c>
      <c r="P37">
        <f t="shared" si="15"/>
        <v>9.4695785441578995</v>
      </c>
      <c r="Q37">
        <f t="shared" si="16"/>
        <v>3.3792422599147107</v>
      </c>
      <c r="R37" s="23">
        <f t="shared" si="17"/>
        <v>195.50084354465392</v>
      </c>
      <c r="S37" s="23">
        <f t="shared" si="18"/>
        <v>842.26629385462184</v>
      </c>
      <c r="T37">
        <f t="shared" si="19"/>
        <v>46.898282565065593</v>
      </c>
    </row>
    <row r="38" spans="1:20">
      <c r="A38" s="25">
        <v>5.0000000000000001E-4</v>
      </c>
      <c r="B38">
        <v>7.7027048084363701</v>
      </c>
      <c r="C38">
        <v>4.1543848292033703</v>
      </c>
      <c r="D38">
        <v>26.0400248737865</v>
      </c>
      <c r="E38"/>
      <c r="F38"/>
      <c r="G38"/>
      <c r="H38">
        <v>203.42215654437999</v>
      </c>
      <c r="I38">
        <v>1345.54894608429</v>
      </c>
      <c r="J38">
        <v>1.0182715772240301</v>
      </c>
      <c r="K38">
        <v>237.782369894152</v>
      </c>
      <c r="L38">
        <v>157.30226715871899</v>
      </c>
      <c r="M38">
        <v>1.01773900996429</v>
      </c>
      <c r="N38">
        <v>253.01426616694701</v>
      </c>
      <c r="O38">
        <v>217.546954005309</v>
      </c>
      <c r="P38">
        <f t="shared" si="15"/>
        <v>7.8393431657852073</v>
      </c>
      <c r="Q38">
        <f t="shared" si="16"/>
        <v>4.0819746403836259</v>
      </c>
      <c r="R38" s="23">
        <f t="shared" si="17"/>
        <v>184.19609177059974</v>
      </c>
      <c r="S38" s="23">
        <f t="shared" si="18"/>
        <v>746.29280486980008</v>
      </c>
      <c r="T38">
        <f t="shared" si="19"/>
        <v>56.297329670225565</v>
      </c>
    </row>
    <row r="39" spans="1:20">
      <c r="A39" s="25">
        <v>1E-4</v>
      </c>
      <c r="B39">
        <v>5.03019990479382</v>
      </c>
      <c r="C39">
        <v>6.3615762008789503</v>
      </c>
      <c r="D39">
        <v>36.806260004318197</v>
      </c>
      <c r="E39"/>
      <c r="F39"/>
      <c r="G39"/>
      <c r="H39">
        <v>181.701621682385</v>
      </c>
      <c r="I39">
        <v>289.17832784241801</v>
      </c>
      <c r="J39">
        <v>1.0066437679262199</v>
      </c>
      <c r="K39">
        <v>242.26546985092099</v>
      </c>
      <c r="L39">
        <v>167.719929018589</v>
      </c>
      <c r="M39">
        <v>1.00664451827242</v>
      </c>
      <c r="N39">
        <v>245.92091539049801</v>
      </c>
      <c r="O39">
        <v>229.89728983782001</v>
      </c>
      <c r="P39">
        <f t="shared" si="15"/>
        <v>5.0636231599751476</v>
      </c>
      <c r="Q39">
        <f t="shared" si="16"/>
        <v>6.3195855988929841</v>
      </c>
      <c r="R39" s="23">
        <f t="shared" si="17"/>
        <v>158.43052019419792</v>
      </c>
      <c r="S39" s="23">
        <f t="shared" si="18"/>
        <v>231.33130060579774</v>
      </c>
      <c r="T39">
        <f t="shared" si="19"/>
        <v>87.222826061704012</v>
      </c>
    </row>
    <row r="40" spans="1:20">
      <c r="A40" s="25">
        <v>5.0000000000000002E-5</v>
      </c>
      <c r="B40">
        <v>4.4446516857102898</v>
      </c>
      <c r="C40">
        <v>7.19966428480347</v>
      </c>
      <c r="D40">
        <v>38.322294903549199</v>
      </c>
      <c r="E40"/>
      <c r="F40"/>
      <c r="G40"/>
      <c r="H40">
        <v>176.73904110884499</v>
      </c>
      <c r="I40">
        <v>268.51473806777301</v>
      </c>
      <c r="J40">
        <v>1.0071729133302501</v>
      </c>
      <c r="K40">
        <v>244.00632080795501</v>
      </c>
      <c r="L40">
        <v>170.218888805966</v>
      </c>
      <c r="M40">
        <v>1.00664451827242</v>
      </c>
      <c r="N40">
        <v>245.69568889219499</v>
      </c>
      <c r="O40">
        <v>227.049732996665</v>
      </c>
      <c r="P40">
        <f t="shared" si="15"/>
        <v>4.4741842550505337</v>
      </c>
      <c r="Q40">
        <f t="shared" si="16"/>
        <v>7.152141748270151</v>
      </c>
      <c r="R40" s="23">
        <f t="shared" si="17"/>
        <v>152.11939453534316</v>
      </c>
      <c r="S40" s="23">
        <f t="shared" si="18"/>
        <v>212.08383831123797</v>
      </c>
      <c r="T40">
        <f t="shared" si="19"/>
        <v>98.400747799010986</v>
      </c>
    </row>
    <row r="41" spans="1:20">
      <c r="A41" s="25">
        <v>1.0000000000000001E-5</v>
      </c>
      <c r="B41">
        <v>3.6697275684525801</v>
      </c>
      <c r="C41">
        <v>8.7199933518480393</v>
      </c>
      <c r="D41">
        <v>60.458714663199501</v>
      </c>
      <c r="E41"/>
      <c r="F41"/>
      <c r="G41"/>
      <c r="H41">
        <v>168.87750779237999</v>
      </c>
      <c r="I41">
        <v>214.848040472468</v>
      </c>
      <c r="J41">
        <v>1.0054397495437899</v>
      </c>
      <c r="K41">
        <v>242.397846476909</v>
      </c>
      <c r="L41">
        <v>181.646656742479</v>
      </c>
      <c r="M41">
        <v>1.0044198895027601</v>
      </c>
      <c r="N41">
        <v>240.76603166795201</v>
      </c>
      <c r="O41">
        <v>235.01298548192199</v>
      </c>
      <c r="P41">
        <f t="shared" si="15"/>
        <v>3.6859473588103731</v>
      </c>
      <c r="Q41">
        <f t="shared" si="16"/>
        <v>8.6816215439191353</v>
      </c>
      <c r="R41" s="23">
        <f t="shared" si="17"/>
        <v>141.77851260131985</v>
      </c>
      <c r="S41" s="23">
        <f t="shared" si="18"/>
        <v>171.99974769599606</v>
      </c>
      <c r="T41">
        <f t="shared" si="19"/>
        <v>119.09338702421233</v>
      </c>
    </row>
    <row r="42" spans="1:20">
      <c r="A42" s="4"/>
    </row>
    <row r="43" spans="1:20">
      <c r="A43" s="4"/>
      <c r="E43" s="2"/>
    </row>
    <row r="44" spans="1:20">
      <c r="A44" s="4" t="s">
        <v>52</v>
      </c>
      <c r="E44" s="2"/>
    </row>
    <row r="45" spans="1:20">
      <c r="A45" s="1" t="s">
        <v>19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24" t="s">
        <v>7</v>
      </c>
      <c r="I45" s="24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21</v>
      </c>
      <c r="Q45" s="1" t="s">
        <v>22</v>
      </c>
      <c r="R45" s="24" t="s">
        <v>23</v>
      </c>
      <c r="S45" s="24" t="s">
        <v>24</v>
      </c>
      <c r="T45" s="1" t="s">
        <v>46</v>
      </c>
    </row>
    <row r="46" spans="1:20">
      <c r="A46" s="25">
        <v>0.5</v>
      </c>
      <c r="B46">
        <v>64.000032768016695</v>
      </c>
      <c r="C46">
        <v>0.5</v>
      </c>
      <c r="D46">
        <v>48.325997941985598</v>
      </c>
      <c r="E46"/>
      <c r="F46"/>
      <c r="G46"/>
      <c r="H46">
        <v>499.64428357791201</v>
      </c>
      <c r="I46">
        <v>408.13916762498798</v>
      </c>
      <c r="J46">
        <v>1.6124553844377201</v>
      </c>
      <c r="K46">
        <v>176.39447019337399</v>
      </c>
      <c r="L46">
        <v>76.997343862561095</v>
      </c>
      <c r="M46">
        <v>1.6135500394086799</v>
      </c>
      <c r="N46">
        <v>267.09425594428001</v>
      </c>
      <c r="O46">
        <v>163.370933578353</v>
      </c>
      <c r="P46">
        <f>B46*M46</f>
        <v>103.26725539499014</v>
      </c>
      <c r="Q46">
        <f>C46/M46</f>
        <v>0.30987573226005172</v>
      </c>
      <c r="R46" s="23">
        <f>1/(1/H46+1/(N46*B46))</f>
        <v>485.45485116469109</v>
      </c>
      <c r="S46" s="23">
        <f>1/(1/I46+1/(O46*B46))</f>
        <v>392.80601642326701</v>
      </c>
      <c r="T46">
        <f>$Y$2/R46+$Y$2/S46+$Y$2/($Z$2*P46)</f>
        <v>5.9885853869059513</v>
      </c>
    </row>
    <row r="47" spans="1:20">
      <c r="A47" s="25">
        <v>1</v>
      </c>
      <c r="B47">
        <v>32</v>
      </c>
      <c r="C47">
        <v>1</v>
      </c>
      <c r="D47">
        <v>65.671876037000303</v>
      </c>
      <c r="E47"/>
      <c r="F47"/>
      <c r="G47"/>
      <c r="H47">
        <v>346.095683975702</v>
      </c>
      <c r="I47">
        <v>358.22840036963203</v>
      </c>
      <c r="J47">
        <v>1.09070633593057</v>
      </c>
      <c r="K47">
        <v>227.50441124372699</v>
      </c>
      <c r="L47">
        <v>136.94218326937201</v>
      </c>
      <c r="M47">
        <v>1.0901289632545299</v>
      </c>
      <c r="N47">
        <v>245.972436393039</v>
      </c>
      <c r="O47">
        <v>203.20386858696099</v>
      </c>
      <c r="P47">
        <f t="shared" ref="P47:P53" si="20">B47*M47</f>
        <v>34.884126824144957</v>
      </c>
      <c r="Q47">
        <f t="shared" ref="Q47:Q53" si="21">C47/M47</f>
        <v>0.9173226597104126</v>
      </c>
      <c r="R47" s="23">
        <f t="shared" ref="R47:R53" si="22">1/(1/H47+1/(N47*B47))</f>
        <v>331.51869625338537</v>
      </c>
      <c r="S47" s="23">
        <f t="shared" ref="S47:S53" si="23">1/(1/I47+1/(O47*B47))</f>
        <v>339.52380600721528</v>
      </c>
      <c r="T47">
        <f t="shared" ref="T47:T53" si="24">$Y$2/R47+$Y$2/S47+$Y$2/($Z$2*P47)</f>
        <v>14.512450544307345</v>
      </c>
    </row>
    <row r="48" spans="1:20">
      <c r="A48" s="25">
        <v>2</v>
      </c>
      <c r="B48">
        <v>16</v>
      </c>
      <c r="C48">
        <v>2</v>
      </c>
      <c r="D48">
        <v>81.407409344384305</v>
      </c>
      <c r="E48"/>
      <c r="F48"/>
      <c r="G48"/>
      <c r="H48">
        <v>230.31554882241301</v>
      </c>
      <c r="I48">
        <v>249.29245228543601</v>
      </c>
      <c r="J48">
        <v>0.99884402420747498</v>
      </c>
      <c r="K48">
        <v>221.49783029358599</v>
      </c>
      <c r="L48">
        <v>195.95589328850099</v>
      </c>
      <c r="M48">
        <v>1</v>
      </c>
      <c r="N48">
        <v>197.65816135264001</v>
      </c>
      <c r="O48">
        <v>244.17333132454101</v>
      </c>
      <c r="P48">
        <f t="shared" si="20"/>
        <v>16</v>
      </c>
      <c r="Q48">
        <f t="shared" si="21"/>
        <v>2</v>
      </c>
      <c r="R48" s="23">
        <f t="shared" si="22"/>
        <v>214.68110800499088</v>
      </c>
      <c r="S48" s="23">
        <f t="shared" si="23"/>
        <v>234.33919349387875</v>
      </c>
      <c r="T48">
        <f t="shared" si="24"/>
        <v>29.934035288054414</v>
      </c>
    </row>
    <row r="49" spans="1:20">
      <c r="A49" s="25">
        <v>4</v>
      </c>
      <c r="B49">
        <v>8</v>
      </c>
      <c r="C49">
        <v>4</v>
      </c>
      <c r="D49">
        <v>101.030189585325</v>
      </c>
      <c r="E49"/>
      <c r="F49"/>
      <c r="G49"/>
      <c r="H49">
        <v>108.21577353267899</v>
      </c>
      <c r="I49">
        <v>174.579514264479</v>
      </c>
      <c r="J49">
        <v>0.99873316432183601</v>
      </c>
      <c r="K49">
        <v>226.938527452382</v>
      </c>
      <c r="L49">
        <v>231.76743766593401</v>
      </c>
      <c r="M49">
        <v>1</v>
      </c>
      <c r="N49">
        <v>194.68044720726499</v>
      </c>
      <c r="O49">
        <v>255.52827263216</v>
      </c>
      <c r="P49">
        <f t="shared" si="20"/>
        <v>8</v>
      </c>
      <c r="Q49">
        <f t="shared" si="21"/>
        <v>4</v>
      </c>
      <c r="R49" s="23">
        <f t="shared" si="22"/>
        <v>101.18513210356325</v>
      </c>
      <c r="S49" s="23">
        <f t="shared" si="23"/>
        <v>160.84329262727897</v>
      </c>
      <c r="T49">
        <f t="shared" si="24"/>
        <v>59.134371495145423</v>
      </c>
    </row>
    <row r="50" spans="1:20">
      <c r="A50" s="25">
        <v>6</v>
      </c>
      <c r="B50">
        <v>5.3333333333333304</v>
      </c>
      <c r="C50">
        <v>6</v>
      </c>
      <c r="D50">
        <v>115.52195014246399</v>
      </c>
      <c r="E50"/>
      <c r="F50"/>
      <c r="G50"/>
      <c r="H50">
        <v>88.187999970938804</v>
      </c>
      <c r="I50">
        <v>148.16008573857201</v>
      </c>
      <c r="J50">
        <v>0.99974209938821001</v>
      </c>
      <c r="K50">
        <v>233.57735439110499</v>
      </c>
      <c r="L50">
        <v>225.853591689165</v>
      </c>
      <c r="M50">
        <v>1</v>
      </c>
      <c r="N50">
        <v>205.46224679313701</v>
      </c>
      <c r="O50">
        <v>258.326309835443</v>
      </c>
      <c r="P50">
        <f t="shared" si="20"/>
        <v>5.3333333333333304</v>
      </c>
      <c r="Q50">
        <f t="shared" si="21"/>
        <v>6</v>
      </c>
      <c r="R50" s="23">
        <f t="shared" si="22"/>
        <v>81.619409571770817</v>
      </c>
      <c r="S50" s="23">
        <f t="shared" si="23"/>
        <v>133.77421170896153</v>
      </c>
      <c r="T50">
        <f t="shared" si="24"/>
        <v>86.847945580505609</v>
      </c>
    </row>
    <row r="51" spans="1:20">
      <c r="A51" s="25">
        <v>8</v>
      </c>
      <c r="B51">
        <v>4</v>
      </c>
      <c r="C51">
        <v>8</v>
      </c>
      <c r="D51">
        <v>128.02637528993299</v>
      </c>
      <c r="E51"/>
      <c r="F51"/>
      <c r="G51"/>
      <c r="H51">
        <v>78.102551208447494</v>
      </c>
      <c r="I51">
        <v>138.550855005843</v>
      </c>
      <c r="J51">
        <v>1.0024641188341601</v>
      </c>
      <c r="K51">
        <v>239.28283630459501</v>
      </c>
      <c r="L51">
        <v>224.195591734912</v>
      </c>
      <c r="M51">
        <v>1.0033112582781401</v>
      </c>
      <c r="N51">
        <v>217.84739029184399</v>
      </c>
      <c r="O51">
        <v>258.33354771188499</v>
      </c>
      <c r="P51">
        <f t="shared" si="20"/>
        <v>4.0132450331125602</v>
      </c>
      <c r="Q51">
        <f t="shared" si="21"/>
        <v>7.9735973597360186</v>
      </c>
      <c r="R51" s="23">
        <f t="shared" si="22"/>
        <v>71.678054969079383</v>
      </c>
      <c r="S51" s="23">
        <f t="shared" si="23"/>
        <v>122.17011912157281</v>
      </c>
      <c r="T51">
        <f t="shared" si="24"/>
        <v>113.7053346403472</v>
      </c>
    </row>
    <row r="52" spans="1:20">
      <c r="A52" s="25">
        <v>12</v>
      </c>
      <c r="B52">
        <v>2.6666666666666599</v>
      </c>
      <c r="C52">
        <v>12</v>
      </c>
      <c r="D52">
        <v>151.952896120779</v>
      </c>
      <c r="E52"/>
      <c r="F52"/>
      <c r="G52"/>
      <c r="H52">
        <v>61.657203871744997</v>
      </c>
      <c r="I52">
        <v>131.637317266238</v>
      </c>
      <c r="J52">
        <v>1.1204252809053299</v>
      </c>
      <c r="K52">
        <v>267.353734082644</v>
      </c>
      <c r="L52">
        <v>207.63203567222899</v>
      </c>
      <c r="M52">
        <v>1.1222119916047</v>
      </c>
      <c r="N52">
        <v>269.54145295578297</v>
      </c>
      <c r="O52">
        <v>258.78957226362598</v>
      </c>
      <c r="P52">
        <f t="shared" si="20"/>
        <v>2.9925653109458588</v>
      </c>
      <c r="Q52">
        <f t="shared" si="21"/>
        <v>10.693166790029284</v>
      </c>
      <c r="R52" s="23">
        <f t="shared" si="22"/>
        <v>56.786056813097545</v>
      </c>
      <c r="S52" s="23">
        <f t="shared" si="23"/>
        <v>110.5499619722026</v>
      </c>
      <c r="T52">
        <f t="shared" si="24"/>
        <v>151.21670085597282</v>
      </c>
    </row>
    <row r="53" spans="1:20">
      <c r="A53" s="25">
        <v>16</v>
      </c>
      <c r="B53">
        <v>2</v>
      </c>
      <c r="C53">
        <v>16</v>
      </c>
      <c r="D53">
        <v>175.93397485273999</v>
      </c>
      <c r="E53"/>
      <c r="F53"/>
      <c r="G53"/>
      <c r="H53">
        <v>40.205200823167601</v>
      </c>
      <c r="I53">
        <v>129.05512174111499</v>
      </c>
      <c r="J53">
        <v>1.29343781397</v>
      </c>
      <c r="K53">
        <v>291.55114017025397</v>
      </c>
      <c r="L53">
        <v>223.902770708209</v>
      </c>
      <c r="M53">
        <v>1.2935511143326299</v>
      </c>
      <c r="N53">
        <v>299.06070457366098</v>
      </c>
      <c r="O53">
        <v>278.94409668263</v>
      </c>
      <c r="P53">
        <f t="shared" si="20"/>
        <v>2.5871022286652599</v>
      </c>
      <c r="Q53">
        <f t="shared" si="21"/>
        <v>12.369051228605477</v>
      </c>
      <c r="R53" s="23">
        <f t="shared" si="22"/>
        <v>37.672863696714472</v>
      </c>
      <c r="S53" s="23">
        <f t="shared" si="23"/>
        <v>104.8097086460987</v>
      </c>
      <c r="T53">
        <f t="shared" si="24"/>
        <v>177.11726550249915</v>
      </c>
    </row>
    <row r="56" spans="1:20">
      <c r="A56" s="5" t="s">
        <v>20</v>
      </c>
      <c r="E56" s="2"/>
    </row>
    <row r="57" spans="1:20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24" t="s">
        <v>7</v>
      </c>
      <c r="I57" s="24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21</v>
      </c>
      <c r="Q57" s="1" t="s">
        <v>22</v>
      </c>
      <c r="R57" s="24" t="s">
        <v>23</v>
      </c>
      <c r="S57" s="24" t="s">
        <v>24</v>
      </c>
      <c r="T57" s="1" t="s">
        <v>46</v>
      </c>
    </row>
    <row r="58" spans="1:20">
      <c r="A58" s="25">
        <v>0.01</v>
      </c>
      <c r="B58">
        <v>15.519185118429601</v>
      </c>
      <c r="C58">
        <v>2.0619639340469398</v>
      </c>
      <c r="D58">
        <v>46.457643110572597</v>
      </c>
      <c r="E58"/>
      <c r="F58">
        <v>77.528755555555506</v>
      </c>
      <c r="G58">
        <v>82.298688888888805</v>
      </c>
      <c r="H58">
        <v>78.450192554899402</v>
      </c>
      <c r="I58">
        <v>82.621020834463494</v>
      </c>
      <c r="J58">
        <v>1.64619899306058</v>
      </c>
      <c r="K58">
        <v>276.26779491394302</v>
      </c>
      <c r="L58">
        <v>153.35623243834101</v>
      </c>
      <c r="M58">
        <v>1.64858651667582</v>
      </c>
      <c r="N58">
        <v>312.145189137133</v>
      </c>
      <c r="O58">
        <v>179.093975413408</v>
      </c>
      <c r="P58">
        <f t="shared" ref="P58:P64" si="25">B58*M58</f>
        <v>25.584719336039079</v>
      </c>
      <c r="Q58">
        <f t="shared" ref="Q58:Q64" si="26">C58/M58</f>
        <v>1.2507465717993658</v>
      </c>
      <c r="R58" s="23">
        <f t="shared" ref="R58:R64" si="27">1/(1/H58+1/(N58*B58))</f>
        <v>77.199974939361852</v>
      </c>
      <c r="S58" s="23">
        <f t="shared" ref="S58:S64" si="28">1/(1/I58+1/(O58*B58))</f>
        <v>80.235905287100309</v>
      </c>
      <c r="T58">
        <f>$Y$2/R58+$Y$2/S58+$Y$2/($Z$2*P58)</f>
        <v>27.032664772267132</v>
      </c>
    </row>
    <row r="59" spans="1:20">
      <c r="A59" s="25">
        <v>5.0000000000000001E-3</v>
      </c>
      <c r="B59">
        <v>14.1411438281923</v>
      </c>
      <c r="C59">
        <v>2.2629003982127198</v>
      </c>
      <c r="D59">
        <v>51.7947301260429</v>
      </c>
      <c r="E59"/>
      <c r="F59">
        <v>77.545833333333306</v>
      </c>
      <c r="G59">
        <v>82.270533333333304</v>
      </c>
      <c r="H59">
        <v>78.470304866125304</v>
      </c>
      <c r="I59">
        <v>82.596565894967796</v>
      </c>
      <c r="J59">
        <v>1.50656940577507</v>
      </c>
      <c r="K59">
        <v>273.78376587013599</v>
      </c>
      <c r="L59">
        <v>136.50999897632499</v>
      </c>
      <c r="M59">
        <v>1.5069377372122199</v>
      </c>
      <c r="N59">
        <v>304.81969389703897</v>
      </c>
      <c r="O59">
        <v>178.229761031718</v>
      </c>
      <c r="P59">
        <f t="shared" si="25"/>
        <v>21.309823282048654</v>
      </c>
      <c r="Q59">
        <f t="shared" si="26"/>
        <v>1.5016548742080102</v>
      </c>
      <c r="R59" s="23">
        <f t="shared" si="27"/>
        <v>77.06733571064008</v>
      </c>
      <c r="S59" s="23">
        <f t="shared" si="28"/>
        <v>79.975638776933039</v>
      </c>
      <c r="T59">
        <f t="shared" ref="T59:T64" si="29">$Y$2/R59+$Y$2/S59+$Y$2/($Z$2*P59)</f>
        <v>30.345082975831779</v>
      </c>
    </row>
    <row r="60" spans="1:20">
      <c r="A60" s="25">
        <v>1E-3</v>
      </c>
      <c r="B60">
        <v>11.8210301749754</v>
      </c>
      <c r="C60">
        <v>2.707039871004</v>
      </c>
      <c r="D60">
        <v>65.311018911628807</v>
      </c>
      <c r="E60"/>
      <c r="F60">
        <v>77.578100000000006</v>
      </c>
      <c r="G60">
        <v>82.203444444444401</v>
      </c>
      <c r="H60">
        <v>78.471827611439906</v>
      </c>
      <c r="I60">
        <v>82.527122438349593</v>
      </c>
      <c r="J60">
        <v>1.3656805449675899</v>
      </c>
      <c r="K60">
        <v>268.68447338695103</v>
      </c>
      <c r="L60">
        <v>146.32420506985599</v>
      </c>
      <c r="M60">
        <v>1.36719582934599</v>
      </c>
      <c r="N60">
        <v>294.89455986419398</v>
      </c>
      <c r="O60">
        <v>189.36049689020899</v>
      </c>
      <c r="P60">
        <f t="shared" si="25"/>
        <v>16.161663153799466</v>
      </c>
      <c r="Q60">
        <f t="shared" si="26"/>
        <v>1.9799942428868702</v>
      </c>
      <c r="R60" s="23">
        <f t="shared" si="27"/>
        <v>76.744250156829182</v>
      </c>
      <c r="S60" s="23">
        <f t="shared" si="28"/>
        <v>79.592683093436975</v>
      </c>
      <c r="T60">
        <f t="shared" si="29"/>
        <v>36.657868455031462</v>
      </c>
    </row>
    <row r="61" spans="1:20">
      <c r="A61" s="25">
        <v>5.0000000000000001E-4</v>
      </c>
      <c r="B61">
        <v>11.012017964228299</v>
      </c>
      <c r="C61">
        <v>2.90591607314385</v>
      </c>
      <c r="D61">
        <v>70.965173686593005</v>
      </c>
      <c r="E61"/>
      <c r="F61">
        <v>77.5208333333333</v>
      </c>
      <c r="G61">
        <v>82.132566666666605</v>
      </c>
      <c r="H61">
        <v>78.451065521713303</v>
      </c>
      <c r="I61">
        <v>82.468845337997607</v>
      </c>
      <c r="J61">
        <v>1.3362269332199499</v>
      </c>
      <c r="K61">
        <v>266.889628428572</v>
      </c>
      <c r="L61">
        <v>154.32845304184801</v>
      </c>
      <c r="M61">
        <v>1.33749193529258</v>
      </c>
      <c r="N61">
        <v>291.87318951513998</v>
      </c>
      <c r="O61">
        <v>194.24728328909501</v>
      </c>
      <c r="P61">
        <f t="shared" si="25"/>
        <v>14.728485218452365</v>
      </c>
      <c r="Q61">
        <f t="shared" si="26"/>
        <v>2.1726606317877892</v>
      </c>
      <c r="R61" s="23">
        <f t="shared" si="27"/>
        <v>76.581832327995045</v>
      </c>
      <c r="S61" s="23">
        <f t="shared" si="28"/>
        <v>79.407382922166079</v>
      </c>
      <c r="T61">
        <f t="shared" si="29"/>
        <v>39.205035925385999</v>
      </c>
    </row>
    <row r="62" spans="1:20">
      <c r="A62" s="25">
        <v>1E-4</v>
      </c>
      <c r="B62">
        <v>8.9973599072712496</v>
      </c>
      <c r="C62">
        <v>3.5565988611991601</v>
      </c>
      <c r="D62">
        <v>84.199074650338304</v>
      </c>
      <c r="E62"/>
      <c r="F62">
        <v>77.5279666666666</v>
      </c>
      <c r="G62">
        <v>82.0917888888888</v>
      </c>
      <c r="H62">
        <v>78.435829807050993</v>
      </c>
      <c r="I62">
        <v>82.411020722370694</v>
      </c>
      <c r="J62">
        <v>1.2830788894904801</v>
      </c>
      <c r="K62">
        <v>269.46158736016702</v>
      </c>
      <c r="L62">
        <v>161.51767586625601</v>
      </c>
      <c r="M62">
        <v>1.2850796136334399</v>
      </c>
      <c r="N62">
        <v>290.33305228590598</v>
      </c>
      <c r="O62">
        <v>203.01478406099</v>
      </c>
      <c r="P62">
        <f t="shared" si="25"/>
        <v>11.562323793357141</v>
      </c>
      <c r="Q62">
        <f t="shared" si="26"/>
        <v>2.7676097445380963</v>
      </c>
      <c r="R62" s="23">
        <f t="shared" si="27"/>
        <v>76.149341041224474</v>
      </c>
      <c r="S62" s="23">
        <f t="shared" si="28"/>
        <v>78.853374037382551</v>
      </c>
      <c r="T62">
        <f t="shared" si="29"/>
        <v>47.065082021602848</v>
      </c>
    </row>
    <row r="63" spans="1:20">
      <c r="A63" s="25">
        <v>5.0000000000000002E-5</v>
      </c>
      <c r="B63">
        <v>8.0377509190149592</v>
      </c>
      <c r="C63">
        <v>3.9812131928966998</v>
      </c>
      <c r="D63">
        <v>90.204015935909794</v>
      </c>
      <c r="E63"/>
      <c r="F63">
        <v>77.500633333333298</v>
      </c>
      <c r="G63">
        <v>82.058333333333294</v>
      </c>
      <c r="H63">
        <v>78.403394639901506</v>
      </c>
      <c r="I63">
        <v>82.385067355015394</v>
      </c>
      <c r="J63">
        <v>1.2830129142220601</v>
      </c>
      <c r="K63">
        <v>270.78870156517399</v>
      </c>
      <c r="L63">
        <v>169.85718400210001</v>
      </c>
      <c r="M63">
        <v>1.2827659853192299</v>
      </c>
      <c r="N63">
        <v>289.96591493533799</v>
      </c>
      <c r="O63">
        <v>207.61789290747299</v>
      </c>
      <c r="P63">
        <f t="shared" si="25"/>
        <v>10.31055347738077</v>
      </c>
      <c r="Q63">
        <f t="shared" si="26"/>
        <v>3.103616122083197</v>
      </c>
      <c r="R63" s="23">
        <f t="shared" si="27"/>
        <v>75.851756898014557</v>
      </c>
      <c r="S63" s="23">
        <f t="shared" si="28"/>
        <v>78.509192987470499</v>
      </c>
      <c r="T63">
        <f t="shared" si="29"/>
        <v>51.51055675517155</v>
      </c>
    </row>
    <row r="64" spans="1:20">
      <c r="A64" s="25">
        <v>1.0000000000000001E-5</v>
      </c>
      <c r="B64">
        <v>6.0227840735746296</v>
      </c>
      <c r="C64">
        <v>5.31315743833522</v>
      </c>
      <c r="D64">
        <v>2.0916462156385598</v>
      </c>
      <c r="E64"/>
      <c r="F64">
        <v>77.411477777777705</v>
      </c>
      <c r="G64">
        <v>81.979399999999998</v>
      </c>
      <c r="H64">
        <v>78.334313681580497</v>
      </c>
      <c r="I64">
        <v>82.301601196985501</v>
      </c>
      <c r="J64">
        <v>1.26692552589038</v>
      </c>
      <c r="K64">
        <v>276.62039367042701</v>
      </c>
      <c r="L64">
        <v>176.73600080200001</v>
      </c>
      <c r="M64">
        <v>1.26702091017452</v>
      </c>
      <c r="N64">
        <v>292.30081533538703</v>
      </c>
      <c r="O64">
        <v>216.24410823237</v>
      </c>
      <c r="P64">
        <f t="shared" si="25"/>
        <v>7.6309933586851306</v>
      </c>
      <c r="Q64">
        <f t="shared" si="26"/>
        <v>4.193425219480698</v>
      </c>
      <c r="R64" s="23">
        <f t="shared" si="27"/>
        <v>74.997209044255285</v>
      </c>
      <c r="S64" s="23">
        <f t="shared" si="28"/>
        <v>77.409865110415211</v>
      </c>
      <c r="T64">
        <f t="shared" si="29"/>
        <v>65.922250963808452</v>
      </c>
    </row>
    <row r="65" spans="1:21">
      <c r="A65" s="4"/>
    </row>
    <row r="66" spans="1:21">
      <c r="A66" s="4"/>
    </row>
    <row r="67" spans="1:21">
      <c r="A67" s="4"/>
      <c r="B67" s="1" t="s">
        <v>43</v>
      </c>
    </row>
    <row r="68" spans="1:21">
      <c r="A68" s="4"/>
      <c r="B68" s="1" t="s">
        <v>53</v>
      </c>
      <c r="C68" s="1" t="s">
        <v>54</v>
      </c>
      <c r="D68" s="1" t="s">
        <v>55</v>
      </c>
      <c r="E68" s="1" t="s">
        <v>56</v>
      </c>
      <c r="F68" s="19" t="s">
        <v>57</v>
      </c>
      <c r="G68" s="19" t="s">
        <v>58</v>
      </c>
      <c r="H68" s="22" t="s">
        <v>59</v>
      </c>
      <c r="I68" s="22" t="s">
        <v>60</v>
      </c>
      <c r="J68" s="19" t="s">
        <v>41</v>
      </c>
      <c r="K68" s="19" t="s">
        <v>42</v>
      </c>
      <c r="L68" s="1" t="s">
        <v>61</v>
      </c>
      <c r="M68" s="1" t="s">
        <v>62</v>
      </c>
    </row>
    <row r="69" spans="1:21">
      <c r="A69" s="4"/>
      <c r="B69" s="1">
        <v>1.1421139925688399</v>
      </c>
      <c r="C69" s="1">
        <v>45.353346380851598</v>
      </c>
      <c r="D69" s="1">
        <v>4.4516495794320798</v>
      </c>
      <c r="E69" s="1">
        <v>45.353346371752302</v>
      </c>
      <c r="F69" s="1">
        <v>1.64028342209114</v>
      </c>
      <c r="G69" s="1">
        <v>24.815069155581401</v>
      </c>
      <c r="H69" s="24">
        <v>0.5</v>
      </c>
      <c r="I69" s="24">
        <v>48.325997941985598</v>
      </c>
      <c r="J69" s="1">
        <v>2.0619639340469398</v>
      </c>
      <c r="K69" s="1">
        <v>46.457643110572597</v>
      </c>
      <c r="L69" s="1">
        <v>1.0838743648404601</v>
      </c>
      <c r="M69" s="1">
        <v>61.857573171242201</v>
      </c>
    </row>
    <row r="70" spans="1:21">
      <c r="A70" s="4"/>
      <c r="B70" s="1">
        <v>1.1953652891314099</v>
      </c>
      <c r="C70" s="1">
        <v>52.131830118447702</v>
      </c>
      <c r="D70" s="1">
        <v>5.2513071711389303</v>
      </c>
      <c r="E70" s="2">
        <v>52.131831307831298</v>
      </c>
      <c r="F70" s="1">
        <v>2.0507870240464001</v>
      </c>
      <c r="G70" s="1">
        <v>25.302982613946</v>
      </c>
      <c r="H70" s="24">
        <v>1</v>
      </c>
      <c r="I70" s="24">
        <v>65.671876037000303</v>
      </c>
      <c r="J70" s="1">
        <v>2.2629003982127198</v>
      </c>
      <c r="K70" s="1">
        <v>51.7947301260429</v>
      </c>
      <c r="L70" s="1">
        <v>1.08755270970773</v>
      </c>
      <c r="M70" s="1">
        <v>65.609697449833703</v>
      </c>
    </row>
    <row r="71" spans="1:21">
      <c r="A71" s="4"/>
      <c r="B71" s="1">
        <v>1.37108570508704</v>
      </c>
      <c r="C71" s="1">
        <v>66.169708655036999</v>
      </c>
      <c r="D71" s="1">
        <v>7.1674264915480901</v>
      </c>
      <c r="E71" s="2">
        <v>66.169667804015702</v>
      </c>
      <c r="F71" s="1">
        <v>3.4354157143053299</v>
      </c>
      <c r="G71" s="1">
        <v>26.009683904432201</v>
      </c>
      <c r="H71" s="24">
        <v>2</v>
      </c>
      <c r="I71" s="24">
        <v>81.407409344384305</v>
      </c>
      <c r="J71" s="1">
        <v>2.707039871004</v>
      </c>
      <c r="K71" s="1">
        <v>65.311018911628807</v>
      </c>
      <c r="L71" s="1">
        <v>1.10999640229108</v>
      </c>
      <c r="M71" s="1">
        <v>76.007988296260706</v>
      </c>
    </row>
    <row r="72" spans="1:21">
      <c r="A72" s="4"/>
      <c r="B72" s="1">
        <v>1.48611026381629</v>
      </c>
      <c r="C72" s="1">
        <v>71.896566497249793</v>
      </c>
      <c r="D72" s="1">
        <v>8.0485275950339101</v>
      </c>
      <c r="E72" s="1">
        <v>71.896421203747806</v>
      </c>
      <c r="F72" s="1">
        <v>4.1543848292033703</v>
      </c>
      <c r="G72" s="1">
        <v>26.0400248737865</v>
      </c>
      <c r="H72" s="24">
        <v>4</v>
      </c>
      <c r="I72" s="24">
        <v>101.030189585325</v>
      </c>
      <c r="J72" s="1">
        <v>2.90591607314385</v>
      </c>
      <c r="K72" s="1">
        <v>70.965173686593005</v>
      </c>
      <c r="L72" s="1">
        <v>1.1280129374329</v>
      </c>
      <c r="M72" s="1">
        <v>80.103432534064893</v>
      </c>
      <c r="U72" t="s">
        <v>25</v>
      </c>
    </row>
    <row r="73" spans="1:21">
      <c r="A73" s="4"/>
      <c r="B73" s="1">
        <v>1.84554763473961</v>
      </c>
      <c r="C73" s="1">
        <v>85.100552650677798</v>
      </c>
      <c r="D73" s="1">
        <v>10.237800082539801</v>
      </c>
      <c r="E73" s="1">
        <v>85.100552075490199</v>
      </c>
      <c r="F73" s="1">
        <v>6.3615762008789503</v>
      </c>
      <c r="G73" s="1">
        <v>36.806260004318197</v>
      </c>
      <c r="H73" s="24">
        <v>6</v>
      </c>
      <c r="I73" s="24">
        <v>115.52195014246399</v>
      </c>
      <c r="J73" s="1">
        <v>3.5565988611991601</v>
      </c>
      <c r="K73" s="1">
        <v>84.199074650338304</v>
      </c>
      <c r="L73" s="1">
        <v>1.2301968254009501</v>
      </c>
      <c r="M73" s="1">
        <v>91.3405196923933</v>
      </c>
    </row>
    <row r="74" spans="1:21">
      <c r="A74" s="4"/>
      <c r="B74" s="1">
        <v>2.0663218853565501</v>
      </c>
      <c r="C74" s="1">
        <v>91.098161785221095</v>
      </c>
      <c r="D74" s="1">
        <v>11.1598455729991</v>
      </c>
      <c r="E74" s="2">
        <v>91.0981568807358</v>
      </c>
      <c r="F74" s="1">
        <v>7.19966428480347</v>
      </c>
      <c r="G74" s="1">
        <v>38.322294903549199</v>
      </c>
      <c r="H74" s="24">
        <v>8</v>
      </c>
      <c r="I74" s="24">
        <v>128.02637528993299</v>
      </c>
      <c r="J74" s="1">
        <v>3.9812131928966998</v>
      </c>
      <c r="K74" s="1">
        <v>90.204015935909794</v>
      </c>
      <c r="L74" s="1">
        <v>1.3140519839204901</v>
      </c>
      <c r="M74" s="1">
        <v>95.840483084780203</v>
      </c>
    </row>
    <row r="75" spans="1:21">
      <c r="A75" s="4"/>
      <c r="B75" s="1">
        <v>2.8913848045393098</v>
      </c>
      <c r="C75" s="1">
        <v>105.087183562188</v>
      </c>
      <c r="D75" s="1">
        <v>13.3061386822886</v>
      </c>
      <c r="E75" s="1">
        <v>105.08699246854</v>
      </c>
      <c r="F75" s="1">
        <v>8.7199933518480393</v>
      </c>
      <c r="G75" s="1">
        <v>60.458714663199501</v>
      </c>
      <c r="H75" s="24">
        <v>12</v>
      </c>
      <c r="I75" s="24">
        <v>151.952896120779</v>
      </c>
      <c r="J75" s="1">
        <v>4.6804414436550603</v>
      </c>
      <c r="K75" s="1">
        <v>98.439886835625799</v>
      </c>
      <c r="L75" s="1">
        <v>1.71622208929994</v>
      </c>
      <c r="M75" s="1">
        <v>108.176584634162</v>
      </c>
    </row>
    <row r="76" spans="1:21">
      <c r="A76" s="4"/>
      <c r="H76" s="24">
        <v>16</v>
      </c>
      <c r="I76" s="24">
        <v>175.93397485273999</v>
      </c>
    </row>
    <row r="77" spans="1:21">
      <c r="A77" s="4"/>
      <c r="E77" s="2"/>
    </row>
    <row r="78" spans="1:21">
      <c r="A78" s="4"/>
      <c r="B78" s="1" t="s">
        <v>40</v>
      </c>
    </row>
    <row r="79" spans="1:21">
      <c r="A79" s="4"/>
      <c r="B79" s="1" t="s">
        <v>53</v>
      </c>
      <c r="C79" s="1" t="s">
        <v>54</v>
      </c>
      <c r="D79" s="1" t="s">
        <v>55</v>
      </c>
      <c r="E79" s="1" t="s">
        <v>56</v>
      </c>
      <c r="F79" s="19" t="s">
        <v>57</v>
      </c>
      <c r="G79" s="19" t="s">
        <v>58</v>
      </c>
      <c r="H79" s="22" t="s">
        <v>59</v>
      </c>
      <c r="I79" s="22" t="s">
        <v>60</v>
      </c>
      <c r="J79" s="19" t="s">
        <v>41</v>
      </c>
      <c r="K79" s="19" t="s">
        <v>42</v>
      </c>
      <c r="L79" s="1" t="s">
        <v>61</v>
      </c>
      <c r="M79" s="1" t="s">
        <v>62</v>
      </c>
    </row>
    <row r="80" spans="1:21">
      <c r="A80" s="4"/>
      <c r="B80" s="1">
        <v>0.75308581779768047</v>
      </c>
      <c r="C80" s="1">
        <v>45.353346380851598</v>
      </c>
      <c r="D80" s="1">
        <v>1.6969196149382944</v>
      </c>
      <c r="E80" s="1">
        <v>45.353346371752302</v>
      </c>
      <c r="F80" s="1">
        <v>1.6064892986398613</v>
      </c>
      <c r="G80" s="1">
        <v>24.815069155581401</v>
      </c>
      <c r="H80" s="24">
        <v>0.30987573226005172</v>
      </c>
      <c r="I80" s="24">
        <v>48.325997941985598</v>
      </c>
      <c r="J80" s="1">
        <v>1.2507465717993658</v>
      </c>
      <c r="K80" s="1">
        <v>46.457643110572597</v>
      </c>
      <c r="L80" s="1">
        <v>0.13063155012237834</v>
      </c>
      <c r="M80" s="1">
        <v>61.857573171242201</v>
      </c>
    </row>
    <row r="81" spans="1:13">
      <c r="A81" s="4"/>
      <c r="B81" s="1">
        <v>0.86157378512297644</v>
      </c>
      <c r="C81" s="1">
        <v>52.131830118447702</v>
      </c>
      <c r="D81" s="1">
        <v>2.1909044316811874</v>
      </c>
      <c r="E81" s="2">
        <v>52.131831307831298</v>
      </c>
      <c r="F81" s="1">
        <v>2.0195530651107472</v>
      </c>
      <c r="G81" s="1">
        <v>25.302982613946</v>
      </c>
      <c r="H81" s="24">
        <v>0.9173226597104126</v>
      </c>
      <c r="I81" s="24">
        <v>65.671876037000303</v>
      </c>
      <c r="J81" s="1">
        <v>1.5016548742080102</v>
      </c>
      <c r="K81" s="1">
        <v>51.7947301260429</v>
      </c>
      <c r="L81" s="1">
        <v>0.14567820498075512</v>
      </c>
      <c r="M81" s="1">
        <v>65.609697449833703</v>
      </c>
    </row>
    <row r="82" spans="1:13">
      <c r="A82" s="4"/>
      <c r="B82" s="1">
        <v>1.1297834883947893</v>
      </c>
      <c r="C82" s="1">
        <v>66.169708655036999</v>
      </c>
      <c r="D82" s="1">
        <v>3.6333886329586642</v>
      </c>
      <c r="E82" s="2">
        <v>66.169667804015702</v>
      </c>
      <c r="F82" s="1">
        <v>3.3792422599147107</v>
      </c>
      <c r="G82" s="1">
        <v>26.009683904432201</v>
      </c>
      <c r="H82" s="24">
        <v>2</v>
      </c>
      <c r="I82" s="24">
        <v>81.407409344384305</v>
      </c>
      <c r="J82" s="1">
        <v>1.9799942428868702</v>
      </c>
      <c r="K82" s="1">
        <v>65.311018911628807</v>
      </c>
      <c r="L82" s="1">
        <v>0.23421910990743455</v>
      </c>
      <c r="M82" s="1">
        <v>76.007988296260706</v>
      </c>
    </row>
    <row r="83" spans="1:13">
      <c r="A83" s="4"/>
      <c r="B83" s="1">
        <v>1.2678294353672075</v>
      </c>
      <c r="C83" s="1">
        <v>71.896566497249793</v>
      </c>
      <c r="D83" s="1">
        <v>4.3734142902907758</v>
      </c>
      <c r="E83" s="1">
        <v>71.896421203747806</v>
      </c>
      <c r="F83" s="1">
        <v>4.0819746403836259</v>
      </c>
      <c r="G83" s="1">
        <v>26.0400248737865</v>
      </c>
      <c r="H83" s="24">
        <v>4</v>
      </c>
      <c r="I83" s="24">
        <v>101.030189585325</v>
      </c>
      <c r="J83" s="1">
        <v>2.1726606317877892</v>
      </c>
      <c r="K83" s="1">
        <v>70.965173686593005</v>
      </c>
      <c r="L83" s="1">
        <v>0.2901810916744898</v>
      </c>
      <c r="M83" s="1">
        <v>80.103432534064893</v>
      </c>
    </row>
    <row r="84" spans="1:13">
      <c r="A84" s="4"/>
      <c r="B84" s="1">
        <v>1.6886357550422058</v>
      </c>
      <c r="C84" s="1">
        <v>85.100552650677798</v>
      </c>
      <c r="D84" s="1">
        <v>6.3578288515983745</v>
      </c>
      <c r="E84" s="1">
        <v>85.100552075490199</v>
      </c>
      <c r="F84" s="1">
        <v>6.3195855988929841</v>
      </c>
      <c r="G84" s="1">
        <v>36.806260004318197</v>
      </c>
      <c r="H84" s="24">
        <v>6</v>
      </c>
      <c r="I84" s="24">
        <v>115.52195014246399</v>
      </c>
      <c r="J84" s="1">
        <v>2.7653923859293936</v>
      </c>
      <c r="K84" s="1">
        <v>84.199074650338304</v>
      </c>
      <c r="L84" s="1">
        <v>0.54977261855027526</v>
      </c>
      <c r="M84" s="1">
        <v>91.3405196923933</v>
      </c>
    </row>
    <row r="85" spans="1:13">
      <c r="A85" s="4"/>
      <c r="B85" s="1">
        <v>1.9319893438597533</v>
      </c>
      <c r="C85" s="1">
        <v>91.098161785221095</v>
      </c>
      <c r="D85" s="1">
        <v>7.2322267952042383</v>
      </c>
      <c r="E85" s="2">
        <v>91.0981568807358</v>
      </c>
      <c r="F85" s="1">
        <v>7.152141748270151</v>
      </c>
      <c r="G85" s="1">
        <v>38.322294903549199</v>
      </c>
      <c r="H85" s="24">
        <v>7.9735973597360186</v>
      </c>
      <c r="I85" s="24">
        <v>128.02637528993299</v>
      </c>
      <c r="J85" s="1">
        <v>3.101018605809351</v>
      </c>
      <c r="K85" s="1">
        <v>90.204015935909794</v>
      </c>
      <c r="L85" s="1">
        <v>0.72511479653202782</v>
      </c>
      <c r="M85" s="1">
        <v>95.840483084780203</v>
      </c>
    </row>
    <row r="86" spans="1:13">
      <c r="A86" s="4"/>
      <c r="B86" s="1">
        <v>2.7873539760269148</v>
      </c>
      <c r="C86" s="1">
        <v>105.087183562188</v>
      </c>
      <c r="D86" s="1">
        <v>9.2632872768831902</v>
      </c>
      <c r="E86" s="1">
        <v>105.08699246854</v>
      </c>
      <c r="F86" s="1">
        <v>8.6816215439191353</v>
      </c>
      <c r="G86" s="1">
        <v>60.458714663199501</v>
      </c>
      <c r="H86" s="24">
        <v>10.693166790029284</v>
      </c>
      <c r="I86" s="24">
        <v>151.952896120779</v>
      </c>
      <c r="J86" s="1">
        <v>3.6563294410698335</v>
      </c>
      <c r="K86" s="1">
        <v>98.439886835625799</v>
      </c>
      <c r="L86" s="1">
        <v>1.3065901562376574</v>
      </c>
      <c r="M86" s="1">
        <v>108.176584634162</v>
      </c>
    </row>
    <row r="87" spans="1:13">
      <c r="A87" s="4"/>
      <c r="H87" s="24">
        <v>12.369051228605477</v>
      </c>
      <c r="I87" s="24">
        <v>175.93397485273999</v>
      </c>
    </row>
    <row r="88" spans="1:13">
      <c r="A88" s="4"/>
      <c r="E88" s="2"/>
    </row>
    <row r="89" spans="1:13">
      <c r="A89" s="4"/>
      <c r="E89" s="2"/>
    </row>
    <row r="90" spans="1:13">
      <c r="A90" s="4"/>
    </row>
    <row r="91" spans="1:13">
      <c r="A91" s="4"/>
    </row>
    <row r="92" spans="1:13">
      <c r="A92" s="4"/>
      <c r="E92" s="2"/>
    </row>
    <row r="93" spans="1:13">
      <c r="A93" s="4"/>
    </row>
    <row r="94" spans="1:13">
      <c r="A94" s="4"/>
    </row>
    <row r="95" spans="1:13">
      <c r="A95" s="4"/>
      <c r="E95" s="2"/>
    </row>
    <row r="96" spans="1:13">
      <c r="A96" s="4"/>
      <c r="E96" s="2"/>
    </row>
    <row r="97" spans="1:5">
      <c r="A97" s="4"/>
    </row>
    <row r="98" spans="1:5">
      <c r="A98" s="4"/>
    </row>
    <row r="99" spans="1:5">
      <c r="A99" s="4"/>
      <c r="E99" s="2"/>
    </row>
    <row r="100" spans="1:5">
      <c r="A100" s="4"/>
    </row>
    <row r="101" spans="1:5">
      <c r="A101" s="4"/>
    </row>
    <row r="102" spans="1:5">
      <c r="A102" s="4"/>
      <c r="E102" s="2"/>
    </row>
    <row r="103" spans="1:5">
      <c r="A103" s="4"/>
      <c r="E103" s="2"/>
    </row>
    <row r="104" spans="1:5">
      <c r="A104" s="4"/>
    </row>
    <row r="105" spans="1:5">
      <c r="A105" s="4"/>
    </row>
    <row r="106" spans="1:5">
      <c r="A106" s="4"/>
      <c r="E106" s="2"/>
    </row>
    <row r="107" spans="1:5">
      <c r="A107" s="4"/>
    </row>
    <row r="108" spans="1:5">
      <c r="A108" s="4"/>
    </row>
    <row r="109" spans="1:5">
      <c r="A109" s="4"/>
      <c r="E109" s="2"/>
    </row>
    <row r="110" spans="1:5">
      <c r="A110" s="4"/>
      <c r="E110" s="2"/>
    </row>
    <row r="111" spans="1:5">
      <c r="A111" s="4"/>
    </row>
    <row r="112" spans="1:5">
      <c r="A112" s="4"/>
    </row>
    <row r="113" spans="1:5">
      <c r="A113" s="4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AB01-FD43-4FCA-91E6-D6528B9475CD}">
  <dimension ref="A1:Z113"/>
  <sheetViews>
    <sheetView tabSelected="1" topLeftCell="A54" workbookViewId="0">
      <selection activeCell="E3" sqref="E3:E9"/>
    </sheetView>
  </sheetViews>
  <sheetFormatPr defaultColWidth="8.7109375" defaultRowHeight="15"/>
  <cols>
    <col min="1" max="7" width="8.7109375" style="1"/>
    <col min="8" max="8" width="10.42578125" style="21" customWidth="1"/>
    <col min="9" max="9" width="8.7109375" style="2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24.42578125" style="23" customWidth="1"/>
    <col min="19" max="19" width="25.28515625" style="23" customWidth="1"/>
    <col min="20" max="20" width="16.42578125" customWidth="1"/>
  </cols>
  <sheetData>
    <row r="1" spans="1:26">
      <c r="A1" s="1" t="s">
        <v>48</v>
      </c>
      <c r="Y1" t="s">
        <v>44</v>
      </c>
      <c r="Z1" t="s">
        <v>45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1" t="s">
        <v>7</v>
      </c>
      <c r="I2" s="2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21</v>
      </c>
      <c r="Q2" s="1" t="s">
        <v>22</v>
      </c>
      <c r="R2" s="24" t="s">
        <v>23</v>
      </c>
      <c r="S2" s="24" t="s">
        <v>24</v>
      </c>
      <c r="T2" s="1" t="s">
        <v>46</v>
      </c>
      <c r="Y2">
        <f>6*512*512*512*4*100/(1024*1024*1024)</f>
        <v>300</v>
      </c>
      <c r="Z2">
        <v>1</v>
      </c>
    </row>
    <row r="3" spans="1:26">
      <c r="A3" s="25">
        <v>0.01</v>
      </c>
      <c r="B3">
        <v>30.262506894436601</v>
      </c>
      <c r="C3">
        <v>1.0574140507137799</v>
      </c>
      <c r="D3">
        <v>47.591518909285902</v>
      </c>
      <c r="E3"/>
      <c r="F3">
        <v>48.72</v>
      </c>
      <c r="G3">
        <v>48.72</v>
      </c>
      <c r="H3">
        <v>55.857796616645203</v>
      </c>
      <c r="I3">
        <v>48.953407077621499</v>
      </c>
      <c r="J3">
        <v>2.3801839673068099</v>
      </c>
      <c r="K3">
        <v>226.15417317548301</v>
      </c>
      <c r="L3">
        <v>128.21351244276801</v>
      </c>
      <c r="M3">
        <v>2.37944688813442</v>
      </c>
      <c r="N3">
        <v>325.32500777502702</v>
      </c>
      <c r="O3">
        <v>189.318257845266</v>
      </c>
      <c r="P3">
        <f t="shared" ref="P3:P9" si="0">B3*M3</f>
        <v>72.008027857113603</v>
      </c>
      <c r="Q3">
        <f t="shared" ref="Q3:Q9" si="1">C3/M3</f>
        <v>0.44439489529553405</v>
      </c>
      <c r="R3" s="23">
        <f t="shared" ref="R3:R9" si="2">1/(1/H3+1/(N3*B3))</f>
        <v>55.542667751448576</v>
      </c>
      <c r="S3" s="23">
        <f t="shared" ref="S3:S9" si="3">1/(1/I3+1/(O3*B3))</f>
        <v>48.538669496608264</v>
      </c>
      <c r="T3">
        <f>$Y$2/R3+$Y$2/S3+$Y$2/($Z$2*P3)</f>
        <v>15.748094258440119</v>
      </c>
    </row>
    <row r="4" spans="1:26">
      <c r="A4" s="25">
        <v>5.0000000000000001E-3</v>
      </c>
      <c r="B4">
        <v>29.117229623079901</v>
      </c>
      <c r="C4">
        <v>1.0990056545295399</v>
      </c>
      <c r="D4">
        <v>53.245517349375199</v>
      </c>
      <c r="E4"/>
      <c r="F4">
        <v>47.6933333333333</v>
      </c>
      <c r="G4">
        <v>47.6933333333333</v>
      </c>
      <c r="H4">
        <v>55.803786637934301</v>
      </c>
      <c r="I4">
        <v>47.914312340915899</v>
      </c>
      <c r="J4">
        <v>1.9127418611818401</v>
      </c>
      <c r="K4">
        <v>215.47524609619299</v>
      </c>
      <c r="L4">
        <v>136.689385108045</v>
      </c>
      <c r="M4">
        <v>1.9131499250181601</v>
      </c>
      <c r="N4">
        <v>310.34068421352998</v>
      </c>
      <c r="O4">
        <v>205.781497549504</v>
      </c>
      <c r="P4">
        <f t="shared" si="0"/>
        <v>55.705625670131859</v>
      </c>
      <c r="Q4">
        <f t="shared" si="1"/>
        <v>0.57444826469577803</v>
      </c>
      <c r="R4" s="23">
        <f t="shared" si="2"/>
        <v>55.461283291481486</v>
      </c>
      <c r="S4" s="23">
        <f t="shared" si="3"/>
        <v>47.534197304731407</v>
      </c>
      <c r="T4">
        <f t="shared" ref="T4:T9" si="4">$Y$2/R4+$Y$2/S4+$Y$2/($Z$2*P4)</f>
        <v>17.105877056041805</v>
      </c>
    </row>
    <row r="5" spans="1:26">
      <c r="A5" s="25">
        <v>1E-3</v>
      </c>
      <c r="B5">
        <v>23.9315902492703</v>
      </c>
      <c r="C5">
        <v>1.3371447390954501</v>
      </c>
      <c r="D5">
        <v>66.252362185989895</v>
      </c>
      <c r="E5"/>
      <c r="F5">
        <v>45.493333333333297</v>
      </c>
      <c r="G5">
        <v>45.493333333333297</v>
      </c>
      <c r="H5">
        <v>55.264584418802499</v>
      </c>
      <c r="I5">
        <v>45.711951178623501</v>
      </c>
      <c r="J5">
        <v>1.4420075857305299</v>
      </c>
      <c r="K5">
        <v>220.31200237419</v>
      </c>
      <c r="L5">
        <v>145.870231419997</v>
      </c>
      <c r="M5">
        <v>1.4442255175096099</v>
      </c>
      <c r="N5">
        <v>260.84185795904699</v>
      </c>
      <c r="O5">
        <v>214.49469347787101</v>
      </c>
      <c r="P5">
        <f t="shared" si="0"/>
        <v>34.562613312580332</v>
      </c>
      <c r="Q5">
        <f t="shared" si="1"/>
        <v>0.92585591577220738</v>
      </c>
      <c r="R5" s="23">
        <f t="shared" si="2"/>
        <v>54.77961202567937</v>
      </c>
      <c r="S5" s="23">
        <f t="shared" si="3"/>
        <v>45.308472058423668</v>
      </c>
      <c r="T5">
        <f t="shared" si="4"/>
        <v>20.777667493859219</v>
      </c>
    </row>
    <row r="6" spans="1:26">
      <c r="A6" s="25">
        <v>5.0000000000000001E-4</v>
      </c>
      <c r="B6">
        <v>21.671116304502501</v>
      </c>
      <c r="C6">
        <v>1.4766198266100099</v>
      </c>
      <c r="D6">
        <v>72.509248442609604</v>
      </c>
      <c r="E6"/>
      <c r="F6">
        <v>44.74</v>
      </c>
      <c r="G6">
        <v>44.74</v>
      </c>
      <c r="H6">
        <v>54.936128906674298</v>
      </c>
      <c r="I6">
        <v>44.943153571973497</v>
      </c>
      <c r="J6">
        <v>1.3267916185250801</v>
      </c>
      <c r="K6">
        <v>217.27051013389601</v>
      </c>
      <c r="L6">
        <v>158.591010440052</v>
      </c>
      <c r="M6">
        <v>1.3274958791665801</v>
      </c>
      <c r="N6">
        <v>253.269303249335</v>
      </c>
      <c r="O6">
        <v>219.19023506049601</v>
      </c>
      <c r="P6">
        <f t="shared" si="0"/>
        <v>28.768317591166756</v>
      </c>
      <c r="Q6">
        <f t="shared" si="1"/>
        <v>1.1123347723964701</v>
      </c>
      <c r="R6" s="23">
        <f t="shared" si="2"/>
        <v>54.391717783771035</v>
      </c>
      <c r="S6" s="23">
        <f t="shared" si="3"/>
        <v>44.521908502912993</v>
      </c>
      <c r="T6">
        <f t="shared" si="4"/>
        <v>22.681939712648411</v>
      </c>
    </row>
    <row r="7" spans="1:26">
      <c r="A7" s="25">
        <v>1E-4</v>
      </c>
      <c r="B7">
        <v>15.278552724948</v>
      </c>
      <c r="C7">
        <v>2.0944392165985599</v>
      </c>
      <c r="D7">
        <v>85.976176241112896</v>
      </c>
      <c r="E7"/>
      <c r="F7">
        <v>41.98</v>
      </c>
      <c r="G7">
        <v>41.98</v>
      </c>
      <c r="H7">
        <v>53.863970422974099</v>
      </c>
      <c r="I7">
        <v>42.156748956222998</v>
      </c>
      <c r="J7">
        <v>1.1733815125938201</v>
      </c>
      <c r="K7">
        <v>218.48981395633299</v>
      </c>
      <c r="L7">
        <v>179.425236466516</v>
      </c>
      <c r="M7">
        <v>1.1737552546951999</v>
      </c>
      <c r="N7">
        <v>226.33703020891201</v>
      </c>
      <c r="O7">
        <v>242.740318395077</v>
      </c>
      <c r="P7">
        <f t="shared" si="0"/>
        <v>17.933281545045379</v>
      </c>
      <c r="Q7">
        <f t="shared" si="1"/>
        <v>1.7843917701075107</v>
      </c>
      <c r="R7" s="23">
        <f t="shared" si="2"/>
        <v>53.03784422245996</v>
      </c>
      <c r="S7" s="23">
        <f t="shared" si="3"/>
        <v>41.682942098601529</v>
      </c>
      <c r="T7">
        <f t="shared" si="4"/>
        <v>29.58220004385748</v>
      </c>
    </row>
    <row r="8" spans="1:26">
      <c r="A8" s="25">
        <v>5.0000000000000002E-5</v>
      </c>
      <c r="B8">
        <v>12.255858123282399</v>
      </c>
      <c r="C8">
        <v>2.61099628260297</v>
      </c>
      <c r="D8">
        <v>91.572432583151894</v>
      </c>
      <c r="E8"/>
      <c r="F8">
        <v>40.274999999999999</v>
      </c>
      <c r="G8">
        <v>40.274999999999999</v>
      </c>
      <c r="H8">
        <v>52.9587252707205</v>
      </c>
      <c r="I8">
        <v>40.446030040781899</v>
      </c>
      <c r="J8">
        <v>1.1432070757289701</v>
      </c>
      <c r="K8">
        <v>221.50837516495901</v>
      </c>
      <c r="L8">
        <v>178.77676853981899</v>
      </c>
      <c r="M8">
        <v>1.1432624113475101</v>
      </c>
      <c r="N8">
        <v>217.507173963442</v>
      </c>
      <c r="O8">
        <v>239.85495525679201</v>
      </c>
      <c r="P8">
        <f t="shared" si="0"/>
        <v>14.011661911156805</v>
      </c>
      <c r="Q8">
        <f t="shared" si="1"/>
        <v>2.2838118849070796</v>
      </c>
      <c r="R8" s="23">
        <f t="shared" si="2"/>
        <v>51.927117912351164</v>
      </c>
      <c r="S8" s="23">
        <f t="shared" si="3"/>
        <v>39.897090261466751</v>
      </c>
      <c r="T8">
        <f t="shared" si="4"/>
        <v>34.707409916372143</v>
      </c>
    </row>
    <row r="9" spans="1:26">
      <c r="A9" s="25">
        <v>1.0000000000000001E-5</v>
      </c>
      <c r="B9">
        <v>7.67117070223689</v>
      </c>
      <c r="C9">
        <v>4.1714623806596904</v>
      </c>
      <c r="D9">
        <v>104.95959289709501</v>
      </c>
      <c r="E9"/>
      <c r="F9">
        <v>36.883333333333297</v>
      </c>
      <c r="G9">
        <v>36.883333333333297</v>
      </c>
      <c r="H9">
        <v>50.501246876177298</v>
      </c>
      <c r="I9">
        <v>37.0675714364803</v>
      </c>
      <c r="J9">
        <v>1.04138279717694</v>
      </c>
      <c r="K9">
        <v>221.54559260263599</v>
      </c>
      <c r="L9">
        <v>192.03829017745801</v>
      </c>
      <c r="M9">
        <v>1.041059602649</v>
      </c>
      <c r="N9">
        <v>204.773528369449</v>
      </c>
      <c r="O9">
        <v>237.758130469718</v>
      </c>
      <c r="P9">
        <f t="shared" si="0"/>
        <v>7.9861459231233871</v>
      </c>
      <c r="Q9">
        <f t="shared" si="1"/>
        <v>4.0069390552138504</v>
      </c>
      <c r="R9" s="23">
        <f t="shared" si="2"/>
        <v>48.928255393067502</v>
      </c>
      <c r="S9" s="23">
        <f t="shared" si="3"/>
        <v>36.329236564954336</v>
      </c>
      <c r="T9">
        <f t="shared" si="4"/>
        <v>51.9542919518492</v>
      </c>
    </row>
    <row r="10" spans="1:26">
      <c r="A10" s="2"/>
    </row>
    <row r="11" spans="1:26">
      <c r="A11" s="2" t="s">
        <v>49</v>
      </c>
    </row>
    <row r="12" spans="1:26" ht="13.5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21" t="s">
        <v>7</v>
      </c>
      <c r="I12" s="2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21</v>
      </c>
      <c r="Q12" s="1" t="s">
        <v>22</v>
      </c>
      <c r="R12" s="24" t="s">
        <v>23</v>
      </c>
      <c r="S12" s="24" t="s">
        <v>24</v>
      </c>
      <c r="T12" s="1" t="s">
        <v>46</v>
      </c>
    </row>
    <row r="13" spans="1:26">
      <c r="A13" s="25">
        <v>0.01</v>
      </c>
      <c r="B13">
        <v>29.724113516672301</v>
      </c>
      <c r="C13">
        <v>1.0765670095443201</v>
      </c>
      <c r="D13">
        <v>60.831533138123497</v>
      </c>
      <c r="E13"/>
      <c r="F13">
        <v>50.991666666666603</v>
      </c>
      <c r="G13">
        <v>50.991666666666603</v>
      </c>
      <c r="H13">
        <v>41.900791197472998</v>
      </c>
      <c r="I13">
        <v>46.308161203658997</v>
      </c>
      <c r="J13">
        <v>8.8809626522500906</v>
      </c>
      <c r="K13">
        <v>254.49555067604999</v>
      </c>
      <c r="L13">
        <v>141.87864358498101</v>
      </c>
      <c r="M13">
        <v>8.9181095522106197</v>
      </c>
      <c r="N13">
        <v>380.57934596270201</v>
      </c>
      <c r="O13">
        <v>224.11174311937901</v>
      </c>
      <c r="P13">
        <f t="shared" ref="P13:P19" si="5">B13*M13</f>
        <v>265.08290068402806</v>
      </c>
      <c r="Q13">
        <f t="shared" ref="Q13:Q19" si="6">C13/M13</f>
        <v>0.1207169527624227</v>
      </c>
      <c r="R13" s="23">
        <f t="shared" ref="R13:R19" si="7">1/(1/H13+1/(N13*B13))</f>
        <v>41.746164430176776</v>
      </c>
      <c r="S13" s="23">
        <f t="shared" ref="S13:S19" si="8">1/(1/I13+1/(O13*B13))</f>
        <v>45.988468328753882</v>
      </c>
      <c r="T13">
        <f>$Y$2/R13+$Y$2/S13+$Y$2/($Z$2*P13)</f>
        <v>14.841384843996815</v>
      </c>
    </row>
    <row r="14" spans="1:26">
      <c r="A14" s="25">
        <v>5.0000000000000001E-3</v>
      </c>
      <c r="B14">
        <v>29.589700482422</v>
      </c>
      <c r="C14">
        <v>1.0814573813955899</v>
      </c>
      <c r="D14">
        <v>63.365790001021999</v>
      </c>
      <c r="E14"/>
      <c r="F14">
        <v>49.774999999999999</v>
      </c>
      <c r="G14">
        <v>49.774999999999999</v>
      </c>
      <c r="H14">
        <v>41.877789635219898</v>
      </c>
      <c r="I14">
        <v>45.304945651722697</v>
      </c>
      <c r="J14">
        <v>6.1734790281583303</v>
      </c>
      <c r="K14">
        <v>242.71329895186599</v>
      </c>
      <c r="L14">
        <v>141.953760292228</v>
      </c>
      <c r="M14">
        <v>6.1932796672802999</v>
      </c>
      <c r="N14">
        <v>369.43952403140099</v>
      </c>
      <c r="O14">
        <v>223.051591531811</v>
      </c>
      <c r="P14">
        <f t="shared" si="5"/>
        <v>183.25729035869824</v>
      </c>
      <c r="Q14">
        <f t="shared" si="6"/>
        <v>0.1746178825266094</v>
      </c>
      <c r="R14" s="23">
        <f t="shared" si="7"/>
        <v>41.717972618113002</v>
      </c>
      <c r="S14" s="23">
        <f t="shared" si="8"/>
        <v>44.996076620510898</v>
      </c>
      <c r="T14">
        <f t="shared" ref="T14:T19" si="9">$Y$2/R14+$Y$2/S14+$Y$2/($Z$2*P14)</f>
        <v>15.495435842281786</v>
      </c>
    </row>
    <row r="15" spans="1:26">
      <c r="A15" s="25">
        <v>1E-3</v>
      </c>
      <c r="B15">
        <v>28.114738420852301</v>
      </c>
      <c r="C15">
        <v>1.1381930545107199</v>
      </c>
      <c r="D15">
        <v>72.012182627837106</v>
      </c>
      <c r="E15"/>
      <c r="F15">
        <v>45.578333333333298</v>
      </c>
      <c r="G15">
        <v>45.578333333333298</v>
      </c>
      <c r="H15">
        <v>41.891470388072598</v>
      </c>
      <c r="I15">
        <v>41.787938166258698</v>
      </c>
      <c r="J15">
        <v>2.3785639235282101</v>
      </c>
      <c r="K15">
        <v>226.74027347505901</v>
      </c>
      <c r="L15">
        <v>138.64792229332099</v>
      </c>
      <c r="M15">
        <v>2.3818055466220098</v>
      </c>
      <c r="N15">
        <v>334.404885804164</v>
      </c>
      <c r="O15">
        <v>192.34830320064901</v>
      </c>
      <c r="P15">
        <f t="shared" si="5"/>
        <v>66.96383991261294</v>
      </c>
      <c r="Q15">
        <f t="shared" si="6"/>
        <v>0.47786984799198223</v>
      </c>
      <c r="R15" s="23">
        <f t="shared" si="7"/>
        <v>41.705641278241771</v>
      </c>
      <c r="S15" s="23">
        <f t="shared" si="8"/>
        <v>41.467505745912447</v>
      </c>
      <c r="T15">
        <f t="shared" si="9"/>
        <v>18.907881601991967</v>
      </c>
    </row>
    <row r="16" spans="1:26">
      <c r="A16" s="25">
        <v>5.0000000000000001E-4</v>
      </c>
      <c r="B16">
        <v>26.331257821062401</v>
      </c>
      <c r="C16">
        <v>1.21528565849228</v>
      </c>
      <c r="D16">
        <v>75.954014025366305</v>
      </c>
      <c r="E16"/>
      <c r="F16">
        <v>44.48</v>
      </c>
      <c r="G16">
        <v>44.48</v>
      </c>
      <c r="H16">
        <v>41.879403883071497</v>
      </c>
      <c r="I16">
        <v>40.871533617871101</v>
      </c>
      <c r="J16">
        <v>1.7572889320726199</v>
      </c>
      <c r="K16">
        <v>216.86324605358499</v>
      </c>
      <c r="L16">
        <v>142.574338002774</v>
      </c>
      <c r="M16">
        <v>1.7600757607820801</v>
      </c>
      <c r="N16">
        <v>314.51222249611902</v>
      </c>
      <c r="O16">
        <v>193.07741734035201</v>
      </c>
      <c r="P16">
        <f t="shared" si="5"/>
        <v>46.345008641755499</v>
      </c>
      <c r="Q16">
        <f t="shared" si="6"/>
        <v>0.69047349300025274</v>
      </c>
      <c r="R16" s="23">
        <f t="shared" si="7"/>
        <v>41.668686111491965</v>
      </c>
      <c r="S16" s="23">
        <f t="shared" si="8"/>
        <v>40.545575860912777</v>
      </c>
      <c r="T16">
        <f t="shared" si="9"/>
        <v>21.071921054055721</v>
      </c>
    </row>
    <row r="17" spans="1:20">
      <c r="A17" s="25">
        <v>1E-4</v>
      </c>
      <c r="B17">
        <v>18.776620896475901</v>
      </c>
      <c r="C17">
        <v>1.7042470088963499</v>
      </c>
      <c r="D17">
        <v>87.637586923082907</v>
      </c>
      <c r="E17"/>
      <c r="F17">
        <v>42.51</v>
      </c>
      <c r="G17">
        <v>42.51</v>
      </c>
      <c r="H17">
        <v>41.406221841127298</v>
      </c>
      <c r="I17">
        <v>39.174375590930801</v>
      </c>
      <c r="J17">
        <v>1.3434171844898799</v>
      </c>
      <c r="K17">
        <v>219.8027932601</v>
      </c>
      <c r="L17">
        <v>172.57151869578999</v>
      </c>
      <c r="M17">
        <v>1.3464327282241</v>
      </c>
      <c r="N17">
        <v>262.14465298558002</v>
      </c>
      <c r="O17">
        <v>220.29925429049101</v>
      </c>
      <c r="P17">
        <f t="shared" si="5"/>
        <v>25.281456900471692</v>
      </c>
      <c r="Q17">
        <f t="shared" si="6"/>
        <v>1.2657498389423401</v>
      </c>
      <c r="R17" s="23">
        <f t="shared" si="7"/>
        <v>41.060812008244227</v>
      </c>
      <c r="S17" s="23">
        <f t="shared" si="8"/>
        <v>38.806856349932026</v>
      </c>
      <c r="T17">
        <f t="shared" si="9"/>
        <v>26.903233846400425</v>
      </c>
    </row>
    <row r="18" spans="1:20">
      <c r="A18" s="25">
        <v>5.0000000000000002E-5</v>
      </c>
      <c r="B18">
        <v>13.9392124202858</v>
      </c>
      <c r="C18">
        <v>2.29568206833767</v>
      </c>
      <c r="D18">
        <v>92.369154234654602</v>
      </c>
      <c r="E18"/>
      <c r="F18">
        <v>40.314999999999998</v>
      </c>
      <c r="G18">
        <v>40.314999999999998</v>
      </c>
      <c r="H18">
        <v>40.756549903969102</v>
      </c>
      <c r="I18">
        <v>37.298208381914101</v>
      </c>
      <c r="J18">
        <v>1.1850113454334299</v>
      </c>
      <c r="K18">
        <v>219.032454788423</v>
      </c>
      <c r="L18">
        <v>189.149298114597</v>
      </c>
      <c r="M18">
        <v>1.18467054543544</v>
      </c>
      <c r="N18">
        <v>242.797584352618</v>
      </c>
      <c r="O18">
        <v>240.50381286872101</v>
      </c>
      <c r="P18">
        <f t="shared" si="5"/>
        <v>16.513374380880439</v>
      </c>
      <c r="Q18">
        <f t="shared" si="6"/>
        <v>1.9378232008746905</v>
      </c>
      <c r="R18" s="23">
        <f t="shared" si="7"/>
        <v>40.271581438751085</v>
      </c>
      <c r="S18" s="23">
        <f t="shared" si="8"/>
        <v>36.887805325995288</v>
      </c>
      <c r="T18">
        <f t="shared" si="9"/>
        <v>33.749283400325865</v>
      </c>
    </row>
    <row r="19" spans="1:20">
      <c r="A19" s="25">
        <v>1.0000000000000001E-5</v>
      </c>
      <c r="B19">
        <v>8.3235847704980497</v>
      </c>
      <c r="C19">
        <v>3.8444973989356299</v>
      </c>
      <c r="D19">
        <v>105.51346587115999</v>
      </c>
      <c r="E19"/>
      <c r="F19">
        <v>36.634999999999998</v>
      </c>
      <c r="G19">
        <v>36.634999999999998</v>
      </c>
      <c r="H19">
        <v>39.0625957839272</v>
      </c>
      <c r="I19">
        <v>34.143090195848998</v>
      </c>
      <c r="J19">
        <v>1.1371148543112699</v>
      </c>
      <c r="K19">
        <v>224.54060629234399</v>
      </c>
      <c r="L19">
        <v>191.14234571234601</v>
      </c>
      <c r="M19">
        <v>1.13798449612403</v>
      </c>
      <c r="N19">
        <v>218.350968156672</v>
      </c>
      <c r="O19">
        <v>242.97158081212399</v>
      </c>
      <c r="P19">
        <f t="shared" si="5"/>
        <v>9.4721104210008722</v>
      </c>
      <c r="Q19">
        <f t="shared" si="6"/>
        <v>3.378338994977498</v>
      </c>
      <c r="R19" s="23">
        <f t="shared" si="7"/>
        <v>38.240691382050798</v>
      </c>
      <c r="S19" s="23">
        <f t="shared" si="8"/>
        <v>33.576239103264903</v>
      </c>
      <c r="T19">
        <f t="shared" si="9"/>
        <v>48.451864434018603</v>
      </c>
    </row>
    <row r="20" spans="1:20">
      <c r="A20" s="2"/>
    </row>
    <row r="21" spans="1:20">
      <c r="A21" s="2"/>
    </row>
    <row r="22" spans="1:20">
      <c r="A22" s="2" t="s">
        <v>50</v>
      </c>
      <c r="E22" s="2"/>
    </row>
    <row r="23" spans="1:20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21" t="s">
        <v>7</v>
      </c>
      <c r="I23" s="2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21</v>
      </c>
      <c r="Q23" s="1" t="s">
        <v>22</v>
      </c>
      <c r="R23" s="24" t="s">
        <v>23</v>
      </c>
      <c r="S23" s="24" t="s">
        <v>24</v>
      </c>
      <c r="T23" s="1" t="s">
        <v>46</v>
      </c>
    </row>
    <row r="24" spans="1:20">
      <c r="A24" s="25">
        <v>0.01</v>
      </c>
      <c r="B24">
        <v>20.2509844823139</v>
      </c>
      <c r="C24">
        <v>1.58017009138232</v>
      </c>
      <c r="D24">
        <v>47.591519532995903</v>
      </c>
      <c r="E24"/>
      <c r="F24">
        <v>91.888553999999999</v>
      </c>
      <c r="G24">
        <v>422.26860099999999</v>
      </c>
      <c r="H24">
        <v>97.842375062651399</v>
      </c>
      <c r="I24">
        <v>530.414875523761</v>
      </c>
      <c r="J24">
        <v>4.7199927011239797</v>
      </c>
      <c r="K24">
        <v>223.151667645814</v>
      </c>
      <c r="L24">
        <v>166.40031444817001</v>
      </c>
      <c r="M24">
        <v>4.7345457944587297</v>
      </c>
      <c r="N24">
        <v>331.18821059586702</v>
      </c>
      <c r="O24">
        <v>270.80101898277201</v>
      </c>
      <c r="P24">
        <f t="shared" ref="P24:P30" si="10">B24*M24</f>
        <v>95.879213414388275</v>
      </c>
      <c r="Q24">
        <f t="shared" ref="Q24:Q30" si="11">C24/M24</f>
        <v>0.33375325954851615</v>
      </c>
      <c r="R24" s="23">
        <f t="shared" ref="R24:R30" si="12">1/(1/H24+1/(N24*B24))</f>
        <v>96.435540288011055</v>
      </c>
      <c r="S24" s="23">
        <f t="shared" ref="S24:S30" si="13">1/(1/I24+1/(O24*B24))</f>
        <v>483.63716843162757</v>
      </c>
      <c r="T24">
        <f>$Y$2/R24+$Y$2/S24+$Y$2/($Z$2*P24)</f>
        <v>6.860122816374207</v>
      </c>
    </row>
    <row r="25" spans="1:20">
      <c r="A25" s="25">
        <v>5.0000000000000001E-3</v>
      </c>
      <c r="B25">
        <v>16.1236881637486</v>
      </c>
      <c r="C25">
        <v>1.9846575842335199</v>
      </c>
      <c r="D25">
        <v>53.245517923229997</v>
      </c>
      <c r="E25"/>
      <c r="F25">
        <v>88.977314500000006</v>
      </c>
      <c r="G25">
        <v>393.36563949999999</v>
      </c>
      <c r="H25">
        <v>94.613850176259504</v>
      </c>
      <c r="I25">
        <v>488.312686637865</v>
      </c>
      <c r="J25">
        <v>3.3624644500466001</v>
      </c>
      <c r="K25">
        <v>227.19361569191599</v>
      </c>
      <c r="L25">
        <v>152.64517799946699</v>
      </c>
      <c r="M25">
        <v>3.3715681948454401</v>
      </c>
      <c r="N25">
        <v>311.96542163455803</v>
      </c>
      <c r="O25">
        <v>251.57317897599501</v>
      </c>
      <c r="P25">
        <f t="shared" si="10"/>
        <v>54.362114196500656</v>
      </c>
      <c r="Q25">
        <f t="shared" si="11"/>
        <v>0.58864524444966793</v>
      </c>
      <c r="R25" s="23">
        <f t="shared" si="12"/>
        <v>92.86704096210039</v>
      </c>
      <c r="S25" s="23">
        <f t="shared" si="13"/>
        <v>435.84398295449347</v>
      </c>
      <c r="T25">
        <f t="shared" ref="T25:T30" si="14">$Y$2/R25+$Y$2/S25+$Y$2/($Z$2*P25)</f>
        <v>9.4372937513518629</v>
      </c>
    </row>
    <row r="26" spans="1:20">
      <c r="A26" s="25">
        <v>1E-3</v>
      </c>
      <c r="B26">
        <v>9.5869846708226394</v>
      </c>
      <c r="C26">
        <v>3.3378586801530901</v>
      </c>
      <c r="D26">
        <v>66.252362183476095</v>
      </c>
      <c r="E26"/>
      <c r="F26">
        <v>80.703143499999996</v>
      </c>
      <c r="G26">
        <v>290.39214133333297</v>
      </c>
      <c r="H26">
        <v>85.154219041846602</v>
      </c>
      <c r="I26">
        <v>349.24080312404499</v>
      </c>
      <c r="J26">
        <v>1.97788876229984</v>
      </c>
      <c r="K26">
        <v>239.72479975194</v>
      </c>
      <c r="L26">
        <v>136.24965001358001</v>
      </c>
      <c r="M26">
        <v>1.9779504372712899</v>
      </c>
      <c r="N26">
        <v>300.04923003458299</v>
      </c>
      <c r="O26">
        <v>223.019987126768</v>
      </c>
      <c r="P26">
        <f t="shared" si="10"/>
        <v>18.962580521766792</v>
      </c>
      <c r="Q26">
        <f t="shared" si="11"/>
        <v>1.6875340338445897</v>
      </c>
      <c r="R26" s="23">
        <f t="shared" si="12"/>
        <v>82.705899439385874</v>
      </c>
      <c r="S26" s="23">
        <f t="shared" si="13"/>
        <v>300.20463240366786</v>
      </c>
      <c r="T26">
        <f t="shared" si="14"/>
        <v>20.447260696906874</v>
      </c>
    </row>
    <row r="27" spans="1:20">
      <c r="A27" s="25">
        <v>5.0000000000000001E-4</v>
      </c>
      <c r="B27">
        <v>8.1393659950917296</v>
      </c>
      <c r="C27">
        <v>3.9315101470184399</v>
      </c>
      <c r="D27">
        <v>72.509248436339007</v>
      </c>
      <c r="E27"/>
      <c r="F27">
        <v>77.680735999999996</v>
      </c>
      <c r="G27">
        <v>272.33160133333303</v>
      </c>
      <c r="H27">
        <v>81.705872616736201</v>
      </c>
      <c r="I27">
        <v>321.979895245443</v>
      </c>
      <c r="J27">
        <v>1.6446700759516399</v>
      </c>
      <c r="K27">
        <v>244.570588791799</v>
      </c>
      <c r="L27">
        <v>139.52767547741999</v>
      </c>
      <c r="M27">
        <v>1.64588295577735</v>
      </c>
      <c r="N27">
        <v>291.93516388483403</v>
      </c>
      <c r="O27">
        <v>207.31146726581201</v>
      </c>
      <c r="P27">
        <f t="shared" si="10"/>
        <v>13.396443762155227</v>
      </c>
      <c r="Q27">
        <f t="shared" si="11"/>
        <v>2.3886936390088498</v>
      </c>
      <c r="R27" s="23">
        <f t="shared" si="12"/>
        <v>78.989764188707724</v>
      </c>
      <c r="S27" s="23">
        <f t="shared" si="13"/>
        <v>270.38592663531387</v>
      </c>
      <c r="T27">
        <f t="shared" si="14"/>
        <v>27.301488513847012</v>
      </c>
    </row>
    <row r="28" spans="1:20">
      <c r="A28" s="25">
        <v>1E-4</v>
      </c>
      <c r="B28">
        <v>5.6904521998899202</v>
      </c>
      <c r="C28">
        <v>5.6234546703720598</v>
      </c>
      <c r="D28">
        <v>85.976176355748294</v>
      </c>
      <c r="E28"/>
      <c r="F28">
        <v>70.125092333333299</v>
      </c>
      <c r="G28">
        <v>213.643029166666</v>
      </c>
      <c r="H28">
        <v>73.370665330005707</v>
      </c>
      <c r="I28">
        <v>244.505354548539</v>
      </c>
      <c r="J28">
        <v>1.3247507234974101</v>
      </c>
      <c r="K28">
        <v>248.64744670507699</v>
      </c>
      <c r="L28">
        <v>143.93034785073499</v>
      </c>
      <c r="M28">
        <v>1.3221573331209799</v>
      </c>
      <c r="N28">
        <v>275.95432834895701</v>
      </c>
      <c r="O28">
        <v>202.264364544226</v>
      </c>
      <c r="P28">
        <f t="shared" si="10"/>
        <v>7.5236731048588705</v>
      </c>
      <c r="Q28">
        <f t="shared" si="11"/>
        <v>4.2532416751777777</v>
      </c>
      <c r="R28" s="23">
        <f t="shared" si="12"/>
        <v>70.095533305188297</v>
      </c>
      <c r="S28" s="23">
        <f t="shared" si="13"/>
        <v>201.66502483856974</v>
      </c>
      <c r="T28">
        <f t="shared" si="14"/>
        <v>45.641629401120966</v>
      </c>
    </row>
    <row r="29" spans="1:20">
      <c r="A29" s="25">
        <v>5.0000000000000002E-5</v>
      </c>
      <c r="B29">
        <v>4.96407159103184</v>
      </c>
      <c r="C29">
        <v>6.4463212129759704</v>
      </c>
      <c r="D29">
        <v>91.572432683037704</v>
      </c>
      <c r="E29"/>
      <c r="F29">
        <v>66.8034476666666</v>
      </c>
      <c r="G29">
        <v>185.92414983333299</v>
      </c>
      <c r="H29">
        <v>69.674147595551304</v>
      </c>
      <c r="I29">
        <v>208.362303132069</v>
      </c>
      <c r="J29">
        <v>1.2236648296977399</v>
      </c>
      <c r="K29">
        <v>246.18882013485799</v>
      </c>
      <c r="L29">
        <v>151.23791111270799</v>
      </c>
      <c r="M29">
        <v>1.22299179921649</v>
      </c>
      <c r="N29">
        <v>272.83492554255599</v>
      </c>
      <c r="O29">
        <v>211.327850544212</v>
      </c>
      <c r="P29">
        <f t="shared" si="10"/>
        <v>6.0710188465554946</v>
      </c>
      <c r="Q29">
        <f t="shared" si="11"/>
        <v>5.2709439401848872</v>
      </c>
      <c r="R29" s="23">
        <f t="shared" si="12"/>
        <v>66.265208566088589</v>
      </c>
      <c r="S29" s="23">
        <f t="shared" si="13"/>
        <v>173.83507020588974</v>
      </c>
      <c r="T29">
        <f t="shared" si="14"/>
        <v>55.668135777158987</v>
      </c>
    </row>
    <row r="30" spans="1:20">
      <c r="A30" s="25">
        <v>1.0000000000000001E-5</v>
      </c>
      <c r="B30">
        <v>3.8016693198810998</v>
      </c>
      <c r="C30">
        <v>8.4173549321224996</v>
      </c>
      <c r="D30">
        <v>104.959595096247</v>
      </c>
      <c r="E30"/>
      <c r="F30">
        <v>59.4430853333333</v>
      </c>
      <c r="G30">
        <v>131.578466666666</v>
      </c>
      <c r="H30">
        <v>61.614817110856897</v>
      </c>
      <c r="I30">
        <v>136.76780133768</v>
      </c>
      <c r="J30">
        <v>1.11295916017751</v>
      </c>
      <c r="K30">
        <v>252.04683515082701</v>
      </c>
      <c r="L30">
        <v>183.41658946219999</v>
      </c>
      <c r="M30">
        <v>1.1128842408503401</v>
      </c>
      <c r="N30">
        <v>265.48433878816502</v>
      </c>
      <c r="O30">
        <v>225.17893948364599</v>
      </c>
      <c r="P30">
        <f t="shared" si="10"/>
        <v>4.2308178750199064</v>
      </c>
      <c r="Q30">
        <f t="shared" si="11"/>
        <v>7.5635493999725529</v>
      </c>
      <c r="R30" s="23">
        <f t="shared" si="12"/>
        <v>58.069769892458538</v>
      </c>
      <c r="S30" s="23">
        <f t="shared" si="13"/>
        <v>117.92716316251484</v>
      </c>
      <c r="T30">
        <f t="shared" si="14"/>
        <v>78.618418005157068</v>
      </c>
    </row>
    <row r="31" spans="1:20">
      <c r="A31" s="2"/>
    </row>
    <row r="32" spans="1:20">
      <c r="A32" s="2"/>
    </row>
    <row r="33" spans="1:20">
      <c r="A33" s="2" t="s">
        <v>51</v>
      </c>
      <c r="E33" s="2"/>
    </row>
    <row r="34" spans="1:20">
      <c r="A34" s="20" t="s">
        <v>0</v>
      </c>
      <c r="B34" s="20" t="s">
        <v>1</v>
      </c>
      <c r="C34" s="20" t="s">
        <v>2</v>
      </c>
      <c r="D34" s="20" t="s">
        <v>3</v>
      </c>
      <c r="E34" s="20" t="s">
        <v>4</v>
      </c>
      <c r="F34" s="20" t="s">
        <v>5</v>
      </c>
      <c r="G34" s="20" t="s">
        <v>6</v>
      </c>
      <c r="H34" s="20" t="s">
        <v>7</v>
      </c>
      <c r="I34" s="20" t="s">
        <v>8</v>
      </c>
      <c r="J34" s="20" t="s">
        <v>9</v>
      </c>
      <c r="K34" s="20" t="s">
        <v>10</v>
      </c>
      <c r="L34" s="20" t="s">
        <v>11</v>
      </c>
      <c r="M34" s="20" t="s">
        <v>12</v>
      </c>
      <c r="N34" s="20" t="s">
        <v>13</v>
      </c>
      <c r="O34" s="20" t="s">
        <v>14</v>
      </c>
      <c r="P34" s="1" t="s">
        <v>21</v>
      </c>
      <c r="Q34" s="1" t="s">
        <v>22</v>
      </c>
      <c r="R34" s="24" t="s">
        <v>23</v>
      </c>
      <c r="S34" s="24" t="s">
        <v>24</v>
      </c>
      <c r="T34" s="1" t="s">
        <v>46</v>
      </c>
    </row>
    <row r="35" spans="1:20">
      <c r="A35" s="25">
        <v>0.01</v>
      </c>
      <c r="B35">
        <v>1.82799244715028</v>
      </c>
      <c r="C35">
        <v>17.505542788147601</v>
      </c>
      <c r="D35"/>
      <c r="E35"/>
      <c r="F35"/>
      <c r="G35"/>
      <c r="H35">
        <v>138.002318705417</v>
      </c>
      <c r="I35">
        <v>137.61095223539201</v>
      </c>
      <c r="J35">
        <v>1.0059413489736</v>
      </c>
      <c r="K35">
        <v>244.631745852503</v>
      </c>
      <c r="L35">
        <v>207.85000883099801</v>
      </c>
      <c r="M35">
        <v>1.0049751243781</v>
      </c>
      <c r="N35">
        <v>226.885055820171</v>
      </c>
      <c r="O35">
        <v>232.849658800463</v>
      </c>
      <c r="P35">
        <f>B35*M35</f>
        <v>1.8370869369370799</v>
      </c>
      <c r="Q35">
        <f>C35/M35</f>
        <v>17.418881685236144</v>
      </c>
      <c r="R35" s="23">
        <f>1/(1/H35+1/(N35*B35))</f>
        <v>103.54775334501126</v>
      </c>
      <c r="S35" s="23">
        <f>1/(1/I35+1/(O35*B35))</f>
        <v>103.99090291349599</v>
      </c>
      <c r="T35">
        <f>$Y$2/R35+$Y$2/S35+$Y$2/($Z$2*P35)</f>
        <v>169.08409752244236</v>
      </c>
    </row>
    <row r="36" spans="1:20">
      <c r="A36" s="25">
        <v>5.0000000000000001E-3</v>
      </c>
      <c r="B36">
        <v>1.7211593896136399</v>
      </c>
      <c r="C36">
        <v>18.592118889804301</v>
      </c>
      <c r="D36"/>
      <c r="E36"/>
      <c r="F36"/>
      <c r="G36"/>
      <c r="H36">
        <v>137.12879228600801</v>
      </c>
      <c r="I36">
        <v>130.57966926781299</v>
      </c>
      <c r="J36">
        <v>1.0014000000000001</v>
      </c>
      <c r="K36">
        <v>233.67745190061601</v>
      </c>
      <c r="L36">
        <v>250.86201375608701</v>
      </c>
      <c r="M36">
        <v>1</v>
      </c>
      <c r="N36">
        <v>189.689889230163</v>
      </c>
      <c r="O36">
        <v>255.927569414473</v>
      </c>
      <c r="P36">
        <f t="shared" ref="P36:P41" si="15">B36*M36</f>
        <v>1.7211593896136399</v>
      </c>
      <c r="Q36">
        <f t="shared" ref="Q36:Q41" si="16">C36/M36</f>
        <v>18.592118889804301</v>
      </c>
      <c r="R36" s="23">
        <f t="shared" ref="R36:R41" si="17">1/(1/H36+1/(N36*B36))</f>
        <v>96.568645523930257</v>
      </c>
      <c r="S36" s="23">
        <f t="shared" ref="S36:S41" si="18">1/(1/I36+1/(O36*B36))</f>
        <v>100.72169033330375</v>
      </c>
      <c r="T36">
        <f t="shared" ref="T36:T41" si="19">$Y$2/R36+$Y$2/S36+$Y$2/($Z$2*P36)</f>
        <v>180.38621741679682</v>
      </c>
    </row>
    <row r="37" spans="1:20">
      <c r="A37" s="25">
        <v>1E-3</v>
      </c>
      <c r="B37">
        <v>1.50345108683138</v>
      </c>
      <c r="C37">
        <v>21.284363874744901</v>
      </c>
      <c r="D37"/>
      <c r="E37"/>
      <c r="F37"/>
      <c r="G37"/>
      <c r="H37">
        <v>137.487437911304</v>
      </c>
      <c r="I37">
        <v>128.93962118570801</v>
      </c>
      <c r="J37">
        <v>0.99939999999999996</v>
      </c>
      <c r="K37">
        <v>234.259664490782</v>
      </c>
      <c r="L37">
        <v>251.06017013317</v>
      </c>
      <c r="M37">
        <v>1</v>
      </c>
      <c r="N37">
        <v>190.17817495603299</v>
      </c>
      <c r="O37">
        <v>260.85939719128697</v>
      </c>
      <c r="P37">
        <f t="shared" si="15"/>
        <v>1.50345108683138</v>
      </c>
      <c r="Q37">
        <f t="shared" si="16"/>
        <v>21.284363874744901</v>
      </c>
      <c r="R37" s="23">
        <f t="shared" si="17"/>
        <v>92.843357779169111</v>
      </c>
      <c r="S37" s="23">
        <f t="shared" si="18"/>
        <v>97.036911846469806</v>
      </c>
      <c r="T37">
        <f t="shared" si="19"/>
        <v>205.86376729256381</v>
      </c>
    </row>
    <row r="38" spans="1:20">
      <c r="A38" s="25">
        <v>5.0000000000000001E-4</v>
      </c>
      <c r="B38">
        <v>1.8039231405332099</v>
      </c>
      <c r="C38">
        <v>17.739114977227398</v>
      </c>
      <c r="D38"/>
      <c r="E38"/>
      <c r="F38"/>
      <c r="G38"/>
      <c r="H38">
        <v>138.16793353225799</v>
      </c>
      <c r="I38"/>
      <c r="J38"/>
      <c r="K38"/>
      <c r="L38"/>
      <c r="M38"/>
      <c r="N38"/>
      <c r="O38"/>
      <c r="P38">
        <f t="shared" si="15"/>
        <v>0</v>
      </c>
      <c r="Q38" t="e">
        <f t="shared" si="16"/>
        <v>#DIV/0!</v>
      </c>
      <c r="R38" s="23" t="e">
        <f t="shared" si="17"/>
        <v>#DIV/0!</v>
      </c>
      <c r="S38" s="23" t="e">
        <f t="shared" si="18"/>
        <v>#DIV/0!</v>
      </c>
      <c r="T38" t="e">
        <f t="shared" si="19"/>
        <v>#DIV/0!</v>
      </c>
    </row>
    <row r="39" spans="1:20">
      <c r="A39" s="25">
        <v>1E-4</v>
      </c>
      <c r="B39">
        <v>1.5916696441492499</v>
      </c>
      <c r="C39">
        <v>20.104674432679701</v>
      </c>
      <c r="D39"/>
      <c r="E39"/>
      <c r="F39"/>
      <c r="G39"/>
      <c r="H39">
        <v>136.327664545121</v>
      </c>
      <c r="I39"/>
      <c r="J39"/>
      <c r="K39"/>
      <c r="L39"/>
      <c r="M39"/>
      <c r="N39"/>
      <c r="O39"/>
      <c r="P39">
        <f t="shared" si="15"/>
        <v>0</v>
      </c>
      <c r="Q39" t="e">
        <f t="shared" si="16"/>
        <v>#DIV/0!</v>
      </c>
      <c r="R39" s="23" t="e">
        <f t="shared" si="17"/>
        <v>#DIV/0!</v>
      </c>
      <c r="S39" s="23" t="e">
        <f t="shared" si="18"/>
        <v>#DIV/0!</v>
      </c>
      <c r="T39" t="e">
        <f t="shared" si="19"/>
        <v>#DIV/0!</v>
      </c>
    </row>
    <row r="40" spans="1:20">
      <c r="A40" s="25">
        <v>5.0000000000000002E-5</v>
      </c>
      <c r="B40">
        <v>1.48602510634764</v>
      </c>
      <c r="C40">
        <v>21.533956501347099</v>
      </c>
      <c r="D40"/>
      <c r="E40"/>
      <c r="F40"/>
      <c r="G40"/>
      <c r="H40">
        <v>134.57140894621199</v>
      </c>
      <c r="I40"/>
      <c r="J40"/>
      <c r="K40"/>
      <c r="L40"/>
      <c r="M40"/>
      <c r="N40"/>
      <c r="O40"/>
      <c r="P40">
        <f t="shared" si="15"/>
        <v>0</v>
      </c>
      <c r="Q40" t="e">
        <f t="shared" si="16"/>
        <v>#DIV/0!</v>
      </c>
      <c r="R40" s="23" t="e">
        <f t="shared" si="17"/>
        <v>#DIV/0!</v>
      </c>
      <c r="S40" s="23" t="e">
        <f t="shared" si="18"/>
        <v>#DIV/0!</v>
      </c>
      <c r="T40" t="e">
        <f t="shared" si="19"/>
        <v>#DIV/0!</v>
      </c>
    </row>
    <row r="41" spans="1:20">
      <c r="A41" s="25">
        <v>1.0000000000000001E-5</v>
      </c>
      <c r="B41">
        <v>1.33832386871283</v>
      </c>
      <c r="C41">
        <v>23.910505332895799</v>
      </c>
      <c r="D41"/>
      <c r="E41"/>
      <c r="F41"/>
      <c r="G41"/>
      <c r="H41">
        <v>131.835827307588</v>
      </c>
      <c r="I41"/>
      <c r="J41"/>
      <c r="K41"/>
      <c r="L41"/>
      <c r="M41"/>
      <c r="N41"/>
      <c r="O41"/>
      <c r="P41">
        <f t="shared" si="15"/>
        <v>0</v>
      </c>
      <c r="Q41" t="e">
        <f t="shared" si="16"/>
        <v>#DIV/0!</v>
      </c>
      <c r="R41" s="23" t="e">
        <f t="shared" si="17"/>
        <v>#DIV/0!</v>
      </c>
      <c r="S41" s="23" t="e">
        <f t="shared" si="18"/>
        <v>#DIV/0!</v>
      </c>
      <c r="T41" t="e">
        <f t="shared" si="19"/>
        <v>#DIV/0!</v>
      </c>
    </row>
    <row r="42" spans="1:20">
      <c r="A42" s="2"/>
    </row>
    <row r="43" spans="1:20">
      <c r="A43" s="2"/>
      <c r="E43" s="2"/>
    </row>
    <row r="44" spans="1:20">
      <c r="A44" s="2" t="s">
        <v>52</v>
      </c>
      <c r="E44" s="2"/>
    </row>
    <row r="45" spans="1:20">
      <c r="A45" s="1" t="s">
        <v>19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21" t="s">
        <v>7</v>
      </c>
      <c r="I45" s="2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21</v>
      </c>
      <c r="Q45" s="1" t="s">
        <v>22</v>
      </c>
      <c r="R45" s="24" t="s">
        <v>23</v>
      </c>
      <c r="S45" s="24" t="s">
        <v>24</v>
      </c>
      <c r="T45" s="1" t="s">
        <v>46</v>
      </c>
    </row>
    <row r="46" spans="1:20">
      <c r="A46" s="25">
        <v>0.5</v>
      </c>
      <c r="B46">
        <v>64</v>
      </c>
      <c r="C46">
        <v>0.5</v>
      </c>
      <c r="D46">
        <v>58.012695487095598</v>
      </c>
      <c r="E46"/>
      <c r="F46"/>
      <c r="G46"/>
      <c r="H46">
        <v>509.761416259204</v>
      </c>
      <c r="I46">
        <v>478.38929820527898</v>
      </c>
      <c r="J46">
        <v>1.0303775204469099</v>
      </c>
      <c r="K46">
        <v>184.73969698906501</v>
      </c>
      <c r="L46">
        <v>84.2503338569405</v>
      </c>
      <c r="M46">
        <v>1.0280568063733899</v>
      </c>
      <c r="N46">
        <v>225.17788112172499</v>
      </c>
      <c r="O46">
        <v>184.24142724497901</v>
      </c>
      <c r="P46">
        <f t="shared" ref="P46:P53" si="20">B46*M46</f>
        <v>65.795635607896955</v>
      </c>
      <c r="Q46">
        <f t="shared" ref="Q46:Q53" si="21">C46/M46</f>
        <v>0.48635444743935691</v>
      </c>
      <c r="R46" s="23">
        <f t="shared" ref="R46:R53" si="22">1/(1/H46+1/(N46*B46))</f>
        <v>492.34608469891572</v>
      </c>
      <c r="S46" s="23">
        <f t="shared" ref="S46:S53" si="23">1/(1/I46+1/(O46*B46))</f>
        <v>459.73735908749427</v>
      </c>
      <c r="T46">
        <f>$Y$2/R46+$Y$2/S46+$Y$2/($Z$2*P46)</f>
        <v>5.8214469166298919</v>
      </c>
    </row>
    <row r="47" spans="1:20">
      <c r="A47" s="25">
        <v>1</v>
      </c>
      <c r="B47">
        <v>32</v>
      </c>
      <c r="C47">
        <v>1</v>
      </c>
      <c r="D47">
        <v>63.723025053241301</v>
      </c>
      <c r="E47"/>
      <c r="F47"/>
      <c r="G47"/>
      <c r="H47">
        <v>325.96699975528998</v>
      </c>
      <c r="I47">
        <v>370.09845179924599</v>
      </c>
      <c r="J47">
        <v>0.99853332777035997</v>
      </c>
      <c r="K47">
        <v>186.615253066153</v>
      </c>
      <c r="L47">
        <v>223.245013705406</v>
      </c>
      <c r="M47">
        <v>1</v>
      </c>
      <c r="N47">
        <v>196.20406321700301</v>
      </c>
      <c r="O47">
        <v>266.642037867081</v>
      </c>
      <c r="P47">
        <f t="shared" si="20"/>
        <v>32</v>
      </c>
      <c r="Q47">
        <f t="shared" si="21"/>
        <v>1</v>
      </c>
      <c r="R47" s="23">
        <f t="shared" si="22"/>
        <v>309.87879734346774</v>
      </c>
      <c r="S47" s="23">
        <f t="shared" si="23"/>
        <v>354.71281252166051</v>
      </c>
      <c r="T47">
        <f t="shared" ref="T47:T53" si="24">$Y$2/R47+$Y$2/S47+$Y$2/($Z$2*P47)</f>
        <v>11.188875067748691</v>
      </c>
    </row>
    <row r="48" spans="1:20">
      <c r="A48" s="25">
        <v>2</v>
      </c>
      <c r="B48">
        <v>16</v>
      </c>
      <c r="C48">
        <v>2</v>
      </c>
      <c r="D48">
        <v>69.158975901795202</v>
      </c>
      <c r="E48"/>
      <c r="F48"/>
      <c r="G48"/>
      <c r="H48">
        <v>182.962905096973</v>
      </c>
      <c r="I48">
        <v>217.71567141585501</v>
      </c>
      <c r="J48">
        <v>0.99849999999999905</v>
      </c>
      <c r="K48">
        <v>209.99466346754801</v>
      </c>
      <c r="L48">
        <v>229.51516178930601</v>
      </c>
      <c r="M48">
        <v>1</v>
      </c>
      <c r="N48">
        <v>197.95252668731499</v>
      </c>
      <c r="O48">
        <v>265.28195533258503</v>
      </c>
      <c r="P48">
        <f t="shared" si="20"/>
        <v>16</v>
      </c>
      <c r="Q48">
        <f t="shared" si="21"/>
        <v>2</v>
      </c>
      <c r="R48" s="23">
        <f t="shared" si="22"/>
        <v>172.97084750427743</v>
      </c>
      <c r="S48" s="23">
        <f t="shared" si="23"/>
        <v>207.09314727272724</v>
      </c>
      <c r="T48">
        <f t="shared" si="24"/>
        <v>21.93301981285871</v>
      </c>
    </row>
    <row r="49" spans="1:20">
      <c r="A49" s="25">
        <v>4</v>
      </c>
      <c r="B49">
        <v>8</v>
      </c>
      <c r="C49">
        <v>4</v>
      </c>
      <c r="D49">
        <v>79.343223961614797</v>
      </c>
      <c r="E49"/>
      <c r="F49"/>
      <c r="G49"/>
      <c r="H49">
        <v>109.67027199705601</v>
      </c>
      <c r="I49">
        <v>172.51042169448101</v>
      </c>
      <c r="J49">
        <v>0.99849999999999905</v>
      </c>
      <c r="K49">
        <v>223.55375158966299</v>
      </c>
      <c r="L49">
        <v>245.020675585372</v>
      </c>
      <c r="M49">
        <v>1</v>
      </c>
      <c r="N49">
        <v>195.60012383185301</v>
      </c>
      <c r="O49">
        <v>262.85261789385999</v>
      </c>
      <c r="P49">
        <f t="shared" si="20"/>
        <v>8</v>
      </c>
      <c r="Q49">
        <f t="shared" si="21"/>
        <v>4</v>
      </c>
      <c r="R49" s="23">
        <f t="shared" si="22"/>
        <v>102.48736666557839</v>
      </c>
      <c r="S49" s="23">
        <f t="shared" si="23"/>
        <v>159.43107595477585</v>
      </c>
      <c r="T49">
        <f t="shared" si="24"/>
        <v>42.308880920331781</v>
      </c>
    </row>
    <row r="50" spans="1:20">
      <c r="A50" s="25">
        <v>6</v>
      </c>
      <c r="B50">
        <v>5.3333333333333304</v>
      </c>
      <c r="C50">
        <v>6</v>
      </c>
      <c r="D50">
        <v>91.1416913450187</v>
      </c>
      <c r="E50"/>
      <c r="F50"/>
      <c r="G50"/>
      <c r="H50">
        <v>101.29894705618599</v>
      </c>
      <c r="I50">
        <v>160.35765245388899</v>
      </c>
      <c r="J50">
        <v>0.99849999999999905</v>
      </c>
      <c r="K50">
        <v>228.34639904555499</v>
      </c>
      <c r="L50">
        <v>248.49318895750201</v>
      </c>
      <c r="M50">
        <v>1</v>
      </c>
      <c r="N50">
        <v>195.22468820200501</v>
      </c>
      <c r="O50">
        <v>261.56357597584997</v>
      </c>
      <c r="P50">
        <f t="shared" si="20"/>
        <v>5.3333333333333304</v>
      </c>
      <c r="Q50">
        <f t="shared" si="21"/>
        <v>6</v>
      </c>
      <c r="R50" s="23">
        <f t="shared" si="22"/>
        <v>92.317326865750147</v>
      </c>
      <c r="S50" s="23">
        <f t="shared" si="23"/>
        <v>143.82481077235391</v>
      </c>
      <c r="T50">
        <f t="shared" si="24"/>
        <v>61.585531805664559</v>
      </c>
    </row>
    <row r="51" spans="1:20">
      <c r="A51" s="25">
        <v>8</v>
      </c>
      <c r="B51">
        <v>4</v>
      </c>
      <c r="C51">
        <v>8</v>
      </c>
      <c r="D51">
        <v>103.16789666145</v>
      </c>
      <c r="E51"/>
      <c r="F51"/>
      <c r="G51"/>
      <c r="H51">
        <v>93.456889668735101</v>
      </c>
      <c r="I51">
        <v>154.55368457269</v>
      </c>
      <c r="J51">
        <v>0.99849999999999905</v>
      </c>
      <c r="K51">
        <v>230.22020434637699</v>
      </c>
      <c r="L51">
        <v>248.60295883174399</v>
      </c>
      <c r="M51">
        <v>1</v>
      </c>
      <c r="N51">
        <v>195.37184525073101</v>
      </c>
      <c r="O51">
        <v>260.42309987427598</v>
      </c>
      <c r="P51">
        <f t="shared" si="20"/>
        <v>4</v>
      </c>
      <c r="Q51">
        <f t="shared" si="21"/>
        <v>8</v>
      </c>
      <c r="R51" s="23">
        <f t="shared" si="22"/>
        <v>83.474322184923537</v>
      </c>
      <c r="S51" s="23">
        <f t="shared" si="23"/>
        <v>134.58551771046024</v>
      </c>
      <c r="T51">
        <f t="shared" si="24"/>
        <v>80.822985556844515</v>
      </c>
    </row>
    <row r="52" spans="1:20">
      <c r="A52" s="25">
        <v>12</v>
      </c>
      <c r="B52">
        <v>2.6666666666666599</v>
      </c>
      <c r="C52">
        <v>12</v>
      </c>
      <c r="D52">
        <v>127.234678631477</v>
      </c>
      <c r="E52"/>
      <c r="F52"/>
      <c r="G52"/>
      <c r="H52">
        <v>70.349659655772598</v>
      </c>
      <c r="I52">
        <v>143.465480764467</v>
      </c>
      <c r="J52">
        <v>0.99849999999999905</v>
      </c>
      <c r="K52">
        <v>232.346058510273</v>
      </c>
      <c r="L52">
        <v>249.72110034002401</v>
      </c>
      <c r="M52">
        <v>1</v>
      </c>
      <c r="N52">
        <v>194.84287216800399</v>
      </c>
      <c r="O52">
        <v>260.16164047612</v>
      </c>
      <c r="P52">
        <f t="shared" si="20"/>
        <v>2.6666666666666599</v>
      </c>
      <c r="Q52">
        <f t="shared" si="21"/>
        <v>12</v>
      </c>
      <c r="R52" s="23">
        <f t="shared" si="22"/>
        <v>61.960411536465884</v>
      </c>
      <c r="S52" s="23">
        <f t="shared" si="23"/>
        <v>118.88161763652555</v>
      </c>
      <c r="T52">
        <f t="shared" si="24"/>
        <v>119.86532010639139</v>
      </c>
    </row>
    <row r="53" spans="1:20">
      <c r="A53" s="25">
        <v>16</v>
      </c>
      <c r="B53">
        <v>2</v>
      </c>
      <c r="C53">
        <v>16</v>
      </c>
      <c r="D53">
        <v>151.317325979234</v>
      </c>
      <c r="E53"/>
      <c r="F53"/>
      <c r="G53"/>
      <c r="H53">
        <v>45.526038299238898</v>
      </c>
      <c r="I53">
        <v>133.794211687287</v>
      </c>
      <c r="J53">
        <v>0.99849999999999905</v>
      </c>
      <c r="K53">
        <v>232.806545935488</v>
      </c>
      <c r="L53">
        <v>250.43997222254899</v>
      </c>
      <c r="M53">
        <v>1</v>
      </c>
      <c r="N53">
        <v>197.628437987057</v>
      </c>
      <c r="O53">
        <v>259.65946714315203</v>
      </c>
      <c r="P53">
        <f t="shared" si="20"/>
        <v>2</v>
      </c>
      <c r="Q53">
        <f t="shared" si="21"/>
        <v>16</v>
      </c>
      <c r="R53" s="23">
        <f t="shared" si="22"/>
        <v>40.823904672665464</v>
      </c>
      <c r="S53" s="23">
        <f t="shared" si="23"/>
        <v>106.38565133081487</v>
      </c>
      <c r="T53">
        <f t="shared" si="24"/>
        <v>160.1685647756893</v>
      </c>
    </row>
    <row r="56" spans="1:20">
      <c r="A56" s="1" t="s">
        <v>20</v>
      </c>
      <c r="E56" s="2"/>
    </row>
    <row r="57" spans="1:20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21" t="s">
        <v>7</v>
      </c>
      <c r="I57" s="21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21</v>
      </c>
      <c r="Q57" s="1" t="s">
        <v>22</v>
      </c>
      <c r="R57" s="24" t="s">
        <v>23</v>
      </c>
      <c r="S57" s="24" t="s">
        <v>24</v>
      </c>
      <c r="T57" s="1" t="s">
        <v>46</v>
      </c>
    </row>
    <row r="58" spans="1:20">
      <c r="A58" s="25">
        <v>0.01</v>
      </c>
      <c r="B58">
        <v>25.303118565284901</v>
      </c>
      <c r="C58">
        <v>1.26466624726261</v>
      </c>
      <c r="D58">
        <v>47.591519398678201</v>
      </c>
      <c r="E58"/>
      <c r="F58">
        <v>79.583716666666604</v>
      </c>
      <c r="G58">
        <v>85.104583333333295</v>
      </c>
      <c r="H58">
        <v>80.485790824528493</v>
      </c>
      <c r="I58">
        <v>85.426023579813503</v>
      </c>
      <c r="J58">
        <v>3.3331533499569201</v>
      </c>
      <c r="K58">
        <v>196.90144279720499</v>
      </c>
      <c r="L58">
        <v>114.998097091365</v>
      </c>
      <c r="M58">
        <v>3.3399910627704998</v>
      </c>
      <c r="N58">
        <v>299.207216735891</v>
      </c>
      <c r="O58">
        <v>247.993606685982</v>
      </c>
      <c r="P58">
        <f t="shared" ref="P58:P64" si="25">B58*M58</f>
        <v>84.512189868273879</v>
      </c>
      <c r="Q58">
        <f t="shared" ref="Q58:Q64" si="26">C58/M58</f>
        <v>0.37864360218185072</v>
      </c>
      <c r="R58" s="23">
        <f t="shared" ref="R58:R64" si="27">1/(1/H58+1/(N58*B58))</f>
        <v>79.639149014597734</v>
      </c>
      <c r="S58" s="23">
        <f t="shared" ref="S58:S64" si="28">1/(1/I58+1/(O58*B58))</f>
        <v>84.278680283925453</v>
      </c>
      <c r="T58">
        <f>$Y$2/R58+$Y$2/S58+$Y$2/($Z$2*P58)</f>
        <v>10.876394402307374</v>
      </c>
    </row>
    <row r="59" spans="1:20">
      <c r="A59" s="25">
        <v>5.0000000000000001E-3</v>
      </c>
      <c r="B59">
        <v>21.348904069221799</v>
      </c>
      <c r="C59">
        <v>1.4989059811334</v>
      </c>
      <c r="D59">
        <v>53.245517799408901</v>
      </c>
      <c r="E59"/>
      <c r="F59">
        <v>79.5202666666666</v>
      </c>
      <c r="G59">
        <v>84.750299999999996</v>
      </c>
      <c r="H59">
        <v>80.467630682263504</v>
      </c>
      <c r="I59">
        <v>85.079428400244396</v>
      </c>
      <c r="J59">
        <v>2.5271169907265199</v>
      </c>
      <c r="K59">
        <v>221.26776427095999</v>
      </c>
      <c r="L59">
        <v>131.49994175277399</v>
      </c>
      <c r="M59">
        <v>2.5299093708442602</v>
      </c>
      <c r="N59">
        <v>294.65809113816499</v>
      </c>
      <c r="O59">
        <v>242.03167374277501</v>
      </c>
      <c r="P59">
        <f t="shared" si="25"/>
        <v>54.010792461979385</v>
      </c>
      <c r="Q59">
        <f t="shared" si="26"/>
        <v>0.59247418046172839</v>
      </c>
      <c r="R59" s="23">
        <f t="shared" si="27"/>
        <v>79.451315647438932</v>
      </c>
      <c r="S59" s="23">
        <f t="shared" si="28"/>
        <v>83.70123976504081</v>
      </c>
      <c r="T59">
        <f t="shared" ref="T59:T64" si="29">$Y$2/R59+$Y$2/S59+$Y$2/($Z$2*P59)</f>
        <v>12.91451894001943</v>
      </c>
    </row>
    <row r="60" spans="1:20">
      <c r="A60" s="25">
        <v>1E-3</v>
      </c>
      <c r="B60">
        <v>14.4332625361602</v>
      </c>
      <c r="C60">
        <v>2.2171009444212002</v>
      </c>
      <c r="D60">
        <v>66.252362185887705</v>
      </c>
      <c r="E60"/>
      <c r="F60">
        <v>79.543866666666602</v>
      </c>
      <c r="G60">
        <v>84.181333333333299</v>
      </c>
      <c r="H60">
        <v>80.442920153917996</v>
      </c>
      <c r="I60">
        <v>84.493966671640294</v>
      </c>
      <c r="J60">
        <v>1.8133325481215901</v>
      </c>
      <c r="K60">
        <v>233.536403632316</v>
      </c>
      <c r="L60">
        <v>158.91474395037301</v>
      </c>
      <c r="M60">
        <v>1.8173608709505</v>
      </c>
      <c r="N60">
        <v>301.734019936582</v>
      </c>
      <c r="O60">
        <v>235.57458874607201</v>
      </c>
      <c r="P60">
        <f t="shared" si="25"/>
        <v>26.230446573373325</v>
      </c>
      <c r="Q60">
        <f t="shared" si="26"/>
        <v>1.2199563553173849</v>
      </c>
      <c r="R60" s="23">
        <f t="shared" si="27"/>
        <v>78.983978106787021</v>
      </c>
      <c r="S60" s="23">
        <f t="shared" si="28"/>
        <v>82.445174124394541</v>
      </c>
      <c r="T60">
        <f t="shared" si="29"/>
        <v>18.874111312558249</v>
      </c>
    </row>
    <row r="61" spans="1:20">
      <c r="A61" s="25">
        <v>5.0000000000000001E-4</v>
      </c>
      <c r="B61">
        <v>12.439710545177199</v>
      </c>
      <c r="C61">
        <v>2.5724071218366</v>
      </c>
      <c r="D61">
        <v>72.5092484422903</v>
      </c>
      <c r="E61"/>
      <c r="F61">
        <v>79.500383333333303</v>
      </c>
      <c r="G61">
        <v>84.026649999999904</v>
      </c>
      <c r="H61">
        <v>80.395393297253193</v>
      </c>
      <c r="I61">
        <v>84.363112464675297</v>
      </c>
      <c r="J61">
        <v>1.67056100695961</v>
      </c>
      <c r="K61">
        <v>247.43756082345701</v>
      </c>
      <c r="L61">
        <v>148.119919004747</v>
      </c>
      <c r="M61">
        <v>1.6729502286631099</v>
      </c>
      <c r="N61">
        <v>304.65379802356898</v>
      </c>
      <c r="O61">
        <v>235.597889271989</v>
      </c>
      <c r="P61">
        <f t="shared" si="25"/>
        <v>20.811016601057094</v>
      </c>
      <c r="Q61">
        <f t="shared" si="26"/>
        <v>1.5376471324507157</v>
      </c>
      <c r="R61" s="23">
        <f t="shared" si="27"/>
        <v>78.725345625330462</v>
      </c>
      <c r="S61" s="23">
        <f t="shared" si="28"/>
        <v>82.002640954085464</v>
      </c>
      <c r="T61">
        <f t="shared" si="29"/>
        <v>21.884577462358521</v>
      </c>
    </row>
    <row r="62" spans="1:20">
      <c r="A62" s="25">
        <v>1E-4</v>
      </c>
      <c r="B62">
        <v>8.3985247609169509</v>
      </c>
      <c r="C62">
        <v>3.8101929697122401</v>
      </c>
      <c r="D62">
        <v>85.976176342636606</v>
      </c>
      <c r="E62"/>
      <c r="F62">
        <v>79.460733333333295</v>
      </c>
      <c r="G62">
        <v>83.712166666666604</v>
      </c>
      <c r="H62">
        <v>80.336613151368994</v>
      </c>
      <c r="I62">
        <v>84.031380400678401</v>
      </c>
      <c r="J62">
        <v>1.4693203190656801</v>
      </c>
      <c r="K62">
        <v>264.82492066803297</v>
      </c>
      <c r="L62">
        <v>169.12142529660099</v>
      </c>
      <c r="M62">
        <v>1.4691452241580001</v>
      </c>
      <c r="N62">
        <v>294.07898442483901</v>
      </c>
      <c r="O62">
        <v>238.71985871486601</v>
      </c>
      <c r="P62">
        <f t="shared" si="25"/>
        <v>12.338652542473849</v>
      </c>
      <c r="Q62">
        <f t="shared" si="26"/>
        <v>2.5934760614941568</v>
      </c>
      <c r="R62" s="23">
        <f t="shared" si="27"/>
        <v>77.80580896399519</v>
      </c>
      <c r="S62" s="23">
        <f t="shared" si="28"/>
        <v>80.651043898373516</v>
      </c>
      <c r="T62">
        <f t="shared" si="29"/>
        <v>31.889319983307669</v>
      </c>
    </row>
    <row r="63" spans="1:20">
      <c r="A63" s="25">
        <v>5.0000000000000002E-5</v>
      </c>
      <c r="B63">
        <v>7.0667095219357003</v>
      </c>
      <c r="C63">
        <v>4.5282744254124303</v>
      </c>
      <c r="D63">
        <v>91.572432631568901</v>
      </c>
      <c r="E63"/>
      <c r="F63">
        <v>79.360516666666598</v>
      </c>
      <c r="G63">
        <v>83.522433333333296</v>
      </c>
      <c r="H63">
        <v>80.269151818466497</v>
      </c>
      <c r="I63">
        <v>83.833156870359502</v>
      </c>
      <c r="J63">
        <v>1.3952108498489399</v>
      </c>
      <c r="K63">
        <v>273.19705993222601</v>
      </c>
      <c r="L63">
        <v>182.95684591485301</v>
      </c>
      <c r="M63">
        <v>1.3959631731783599</v>
      </c>
      <c r="N63">
        <v>298.09446106035801</v>
      </c>
      <c r="O63">
        <v>242.605776049382</v>
      </c>
      <c r="P63">
        <f t="shared" si="25"/>
        <v>9.8648662481710918</v>
      </c>
      <c r="Q63">
        <f t="shared" si="26"/>
        <v>3.2438351615697387</v>
      </c>
      <c r="R63" s="23">
        <f t="shared" si="27"/>
        <v>77.322796759189217</v>
      </c>
      <c r="S63" s="23">
        <f t="shared" si="28"/>
        <v>79.924930494880712</v>
      </c>
      <c r="T63">
        <f t="shared" si="29"/>
        <v>38.044315796125481</v>
      </c>
    </row>
    <row r="64" spans="1:20">
      <c r="A64" s="25">
        <v>1.0000000000000001E-5</v>
      </c>
      <c r="B64">
        <v>4.8979297930624499</v>
      </c>
      <c r="C64">
        <v>6.5333725373780398</v>
      </c>
      <c r="D64">
        <v>63.067498254273701</v>
      </c>
      <c r="E64"/>
      <c r="F64">
        <v>79.280450000000002</v>
      </c>
      <c r="G64">
        <v>83.332566666666594</v>
      </c>
      <c r="H64">
        <v>80.176933059965506</v>
      </c>
      <c r="I64">
        <v>83.639515684726405</v>
      </c>
      <c r="J64">
        <v>1.28666388801289</v>
      </c>
      <c r="K64">
        <v>279.09278386122799</v>
      </c>
      <c r="L64">
        <v>188.08891708928701</v>
      </c>
      <c r="M64">
        <v>1.2872846012744401</v>
      </c>
      <c r="N64">
        <v>294.46990291986998</v>
      </c>
      <c r="O64">
        <v>244.11767592125801</v>
      </c>
      <c r="P64">
        <f t="shared" si="25"/>
        <v>6.3050296007325972</v>
      </c>
      <c r="Q64">
        <f t="shared" si="26"/>
        <v>5.0753132065044957</v>
      </c>
      <c r="R64" s="23">
        <f t="shared" si="27"/>
        <v>75.954622436625314</v>
      </c>
      <c r="S64" s="23">
        <f t="shared" si="28"/>
        <v>78.171283228827548</v>
      </c>
      <c r="T64">
        <f t="shared" si="29"/>
        <v>55.368514441654554</v>
      </c>
    </row>
    <row r="65" spans="1:21">
      <c r="A65" s="2"/>
    </row>
    <row r="66" spans="1:21">
      <c r="A66" s="2"/>
    </row>
    <row r="67" spans="1:21">
      <c r="A67" s="2"/>
      <c r="B67" s="1" t="s">
        <v>43</v>
      </c>
    </row>
    <row r="68" spans="1:21">
      <c r="A68" s="2"/>
      <c r="B68" s="1" t="s">
        <v>53</v>
      </c>
      <c r="C68" s="1" t="s">
        <v>54</v>
      </c>
      <c r="D68" s="1" t="s">
        <v>55</v>
      </c>
      <c r="E68" s="1" t="s">
        <v>56</v>
      </c>
      <c r="F68" s="19" t="s">
        <v>57</v>
      </c>
      <c r="G68" s="19" t="s">
        <v>58</v>
      </c>
      <c r="H68" s="22" t="s">
        <v>59</v>
      </c>
      <c r="I68" s="22" t="s">
        <v>60</v>
      </c>
      <c r="J68" s="19" t="s">
        <v>41</v>
      </c>
      <c r="K68" s="19" t="s">
        <v>42</v>
      </c>
      <c r="L68" s="1" t="s">
        <v>61</v>
      </c>
      <c r="M68" s="1" t="s">
        <v>62</v>
      </c>
    </row>
    <row r="69" spans="1:21">
      <c r="A69" s="2"/>
      <c r="B69" s="1">
        <v>1.0610118690000001</v>
      </c>
      <c r="C69" s="1">
        <v>47.591518909999998</v>
      </c>
      <c r="D69" s="1">
        <v>1.58017009138232</v>
      </c>
      <c r="E69" s="1">
        <v>47.591519532995903</v>
      </c>
      <c r="H69" s="21">
        <v>0.5</v>
      </c>
      <c r="I69" s="21">
        <v>58.012695487095598</v>
      </c>
      <c r="J69" s="1">
        <v>1.26466624726261</v>
      </c>
      <c r="K69" s="1">
        <v>47.591519398678201</v>
      </c>
      <c r="L69" s="1">
        <v>1.08002677948805</v>
      </c>
      <c r="M69" s="1">
        <v>60.831533138123497</v>
      </c>
    </row>
    <row r="70" spans="1:21">
      <c r="A70" s="2"/>
      <c r="B70" s="1">
        <v>1.1027104400000001</v>
      </c>
      <c r="C70" s="1">
        <v>53.24551735</v>
      </c>
      <c r="D70" s="1">
        <v>1.9846575842335199</v>
      </c>
      <c r="E70" s="2">
        <v>53.245517923229997</v>
      </c>
      <c r="H70" s="21">
        <v>1</v>
      </c>
      <c r="I70" s="21">
        <v>63.723025053241301</v>
      </c>
      <c r="J70" s="1">
        <v>1.4989059811334</v>
      </c>
      <c r="K70" s="1">
        <v>53.245517799408901</v>
      </c>
      <c r="L70" s="1">
        <v>1.08505900599472</v>
      </c>
      <c r="M70" s="1">
        <v>63.365790001021999</v>
      </c>
    </row>
    <row r="71" spans="1:21">
      <c r="A71" s="2"/>
      <c r="B71" s="1">
        <v>1.3409478669999999</v>
      </c>
      <c r="C71" s="1">
        <v>66.252362189999999</v>
      </c>
      <c r="D71" s="1">
        <v>3.3378586801530901</v>
      </c>
      <c r="E71" s="2">
        <v>66.252362183476095</v>
      </c>
      <c r="H71" s="21">
        <v>2</v>
      </c>
      <c r="I71" s="21">
        <v>69.158975901795202</v>
      </c>
      <c r="J71" s="1">
        <v>2.2171009444212002</v>
      </c>
      <c r="K71" s="1">
        <v>66.252362185887705</v>
      </c>
      <c r="L71" s="1">
        <v>1.14199455432673</v>
      </c>
      <c r="M71" s="1">
        <v>72.012182627837106</v>
      </c>
    </row>
    <row r="72" spans="1:21">
      <c r="A72" s="2"/>
      <c r="B72" s="1">
        <v>1.4804394839999999</v>
      </c>
      <c r="C72" s="1">
        <v>72.509248439999993</v>
      </c>
      <c r="D72" s="1">
        <v>3.9315101470184399</v>
      </c>
      <c r="E72" s="1">
        <v>72.509248436339007</v>
      </c>
      <c r="H72" s="21">
        <v>4</v>
      </c>
      <c r="I72" s="21">
        <v>79.343223961614797</v>
      </c>
      <c r="J72" s="1">
        <v>2.5724071218366</v>
      </c>
      <c r="K72" s="1">
        <v>72.5092484422903</v>
      </c>
      <c r="L72" s="1">
        <v>1.2190947114433299</v>
      </c>
      <c r="M72" s="1">
        <v>75.954014025366305</v>
      </c>
      <c r="U72" t="s">
        <v>25</v>
      </c>
    </row>
    <row r="73" spans="1:21">
      <c r="A73" s="2"/>
      <c r="B73" s="1">
        <v>2.0983018580000001</v>
      </c>
      <c r="C73" s="1">
        <v>85.976176240000001</v>
      </c>
      <c r="D73" s="1">
        <v>5.6234546703720598</v>
      </c>
      <c r="E73" s="1">
        <v>85.976176355748294</v>
      </c>
      <c r="H73" s="21">
        <v>6</v>
      </c>
      <c r="I73" s="21">
        <v>91.1416913450187</v>
      </c>
      <c r="J73" s="1">
        <v>3.8101929697122401</v>
      </c>
      <c r="K73" s="1">
        <v>85.976176342636606</v>
      </c>
      <c r="L73" s="1">
        <v>1.7080790822488701</v>
      </c>
      <c r="M73" s="1">
        <v>87.637586923082907</v>
      </c>
    </row>
    <row r="74" spans="1:21">
      <c r="A74" s="2"/>
      <c r="B74" s="1">
        <v>2.6148947539999998</v>
      </c>
      <c r="C74" s="1">
        <v>91.572432579999997</v>
      </c>
      <c r="D74" s="1">
        <v>6.4463212129759704</v>
      </c>
      <c r="E74" s="2">
        <v>91.572432683037704</v>
      </c>
      <c r="H74" s="21">
        <v>8</v>
      </c>
      <c r="I74" s="21">
        <v>103.16789666145</v>
      </c>
      <c r="J74" s="1">
        <v>4.5282744254124303</v>
      </c>
      <c r="K74" s="1">
        <v>91.572432631568901</v>
      </c>
      <c r="L74" s="1">
        <v>2.2995447207947199</v>
      </c>
      <c r="M74" s="1">
        <v>92.369154234654602</v>
      </c>
    </row>
    <row r="75" spans="1:21">
      <c r="A75" s="2"/>
      <c r="B75" s="1">
        <v>4.1753847540000004</v>
      </c>
      <c r="C75" s="1">
        <v>104.9595929</v>
      </c>
      <c r="D75" s="1">
        <v>8.4173549321224996</v>
      </c>
      <c r="E75" s="1">
        <v>104.959595096247</v>
      </c>
      <c r="H75" s="21">
        <v>12</v>
      </c>
      <c r="I75" s="21">
        <v>127.234678631477</v>
      </c>
      <c r="J75" s="1">
        <v>5.6330948554783298</v>
      </c>
      <c r="K75" s="1">
        <v>99.242759728028702</v>
      </c>
      <c r="L75" s="1">
        <v>3.8484244467131798</v>
      </c>
      <c r="M75" s="1">
        <v>105.51346587115999</v>
      </c>
    </row>
    <row r="76" spans="1:21">
      <c r="A76" s="2"/>
      <c r="H76" s="21">
        <v>16</v>
      </c>
      <c r="I76" s="21">
        <v>151.317325979234</v>
      </c>
    </row>
    <row r="77" spans="1:21">
      <c r="A77" s="2"/>
      <c r="E77" s="2"/>
    </row>
    <row r="78" spans="1:21">
      <c r="A78" s="2"/>
      <c r="B78" s="1" t="s">
        <v>40</v>
      </c>
    </row>
    <row r="79" spans="1:21">
      <c r="A79" s="2"/>
      <c r="B79" s="1" t="s">
        <v>53</v>
      </c>
      <c r="C79" s="1" t="s">
        <v>54</v>
      </c>
      <c r="D79" s="1" t="s">
        <v>55</v>
      </c>
      <c r="E79" s="1" t="s">
        <v>56</v>
      </c>
      <c r="F79" s="19" t="s">
        <v>57</v>
      </c>
      <c r="G79" s="19" t="s">
        <v>58</v>
      </c>
      <c r="H79" s="22" t="s">
        <v>59</v>
      </c>
      <c r="I79" s="22" t="s">
        <v>60</v>
      </c>
      <c r="J79" s="19" t="s">
        <v>41</v>
      </c>
      <c r="K79" s="19" t="s">
        <v>42</v>
      </c>
      <c r="L79" s="1" t="s">
        <v>61</v>
      </c>
      <c r="M79" s="1" t="s">
        <v>62</v>
      </c>
    </row>
    <row r="80" spans="1:21">
      <c r="A80" s="2"/>
      <c r="B80" s="1">
        <v>0.44710136913250337</v>
      </c>
      <c r="C80" s="1">
        <v>47.591518909999998</v>
      </c>
      <c r="D80" s="1">
        <v>0.33375325954851615</v>
      </c>
      <c r="E80" s="1">
        <v>47.591519532995903</v>
      </c>
      <c r="H80" s="21">
        <v>0.48635444743935691</v>
      </c>
      <c r="I80" s="21">
        <v>58.012695487095598</v>
      </c>
      <c r="J80" s="1">
        <v>0.37874952504597498</v>
      </c>
      <c r="K80" s="1">
        <v>47.591519398678201</v>
      </c>
      <c r="L80" s="1">
        <v>0.12481956748223884</v>
      </c>
      <c r="M80" s="1">
        <v>60.831533138123497</v>
      </c>
    </row>
    <row r="81" spans="1:13">
      <c r="A81" s="2"/>
      <c r="B81" s="1">
        <v>0.5785981183785347</v>
      </c>
      <c r="C81" s="1">
        <v>53.24551735</v>
      </c>
      <c r="D81" s="1">
        <v>0.58864524444966793</v>
      </c>
      <c r="E81" s="2">
        <v>53.245517923229997</v>
      </c>
      <c r="H81" s="21">
        <v>1</v>
      </c>
      <c r="I81" s="21">
        <v>63.723025053241301</v>
      </c>
      <c r="J81" s="1">
        <v>0.59274424695753503</v>
      </c>
      <c r="K81" s="1">
        <v>53.245517799408901</v>
      </c>
      <c r="L81" s="1">
        <v>0.17993290551401725</v>
      </c>
      <c r="M81" s="1">
        <v>63.365790001021999</v>
      </c>
    </row>
    <row r="82" spans="1:13">
      <c r="A82" s="2"/>
      <c r="B82" s="1">
        <v>0.93054218998014682</v>
      </c>
      <c r="C82" s="1">
        <v>66.252362189999999</v>
      </c>
      <c r="D82" s="1">
        <v>1.6875340338445897</v>
      </c>
      <c r="E82" s="2">
        <v>66.252362183476095</v>
      </c>
      <c r="H82" s="21">
        <v>2</v>
      </c>
      <c r="I82" s="21">
        <v>69.158975901795202</v>
      </c>
      <c r="J82" s="1">
        <v>1.2200041031716189</v>
      </c>
      <c r="K82" s="1">
        <v>66.252362185887705</v>
      </c>
      <c r="L82" s="1">
        <v>0.48380953169460278</v>
      </c>
      <c r="M82" s="1">
        <v>72.012182627837106</v>
      </c>
    </row>
    <row r="83" spans="1:13">
      <c r="A83" s="2"/>
      <c r="B83" s="1">
        <v>1.1171772779500833</v>
      </c>
      <c r="C83" s="1">
        <v>72.509248439999993</v>
      </c>
      <c r="D83" s="1">
        <v>2.3886936390088498</v>
      </c>
      <c r="E83" s="1">
        <v>72.509248436339007</v>
      </c>
      <c r="H83" s="21">
        <v>4</v>
      </c>
      <c r="I83" s="21">
        <v>79.343223961614797</v>
      </c>
      <c r="J83" s="1">
        <v>1.5377276999394804</v>
      </c>
      <c r="K83" s="1">
        <v>72.5092484422903</v>
      </c>
      <c r="L83" s="1">
        <v>0.69737480403412588</v>
      </c>
      <c r="M83" s="1">
        <v>75.954014025366305</v>
      </c>
    </row>
    <row r="84" spans="1:13">
      <c r="A84" s="2"/>
      <c r="B84" s="1">
        <v>1.7893730513706994</v>
      </c>
      <c r="C84" s="1">
        <v>85.976176240000001</v>
      </c>
      <c r="D84" s="1">
        <v>4.2532416751777777</v>
      </c>
      <c r="E84" s="1">
        <v>85.976176355748294</v>
      </c>
      <c r="H84" s="21">
        <v>6</v>
      </c>
      <c r="I84" s="21">
        <v>91.1416913450187</v>
      </c>
      <c r="J84" s="1">
        <v>2.5941004785655495</v>
      </c>
      <c r="K84" s="1">
        <v>85.976176342636606</v>
      </c>
      <c r="L84" s="1">
        <v>1.2740728707085256</v>
      </c>
      <c r="M84" s="1">
        <v>87.637586923082907</v>
      </c>
    </row>
    <row r="85" spans="1:13">
      <c r="A85" s="2"/>
      <c r="B85" s="1">
        <v>2.2899735650224797</v>
      </c>
      <c r="C85" s="1">
        <v>91.572432579999997</v>
      </c>
      <c r="D85" s="1">
        <v>5.2709439401848872</v>
      </c>
      <c r="E85" s="2">
        <v>91.572432683037704</v>
      </c>
      <c r="H85" s="21">
        <v>8</v>
      </c>
      <c r="I85" s="21">
        <v>103.16789666145</v>
      </c>
      <c r="J85" s="1">
        <v>3.2438351615697387</v>
      </c>
      <c r="K85" s="1">
        <v>91.572432631568901</v>
      </c>
      <c r="L85" s="1">
        <v>1.9425950839419734</v>
      </c>
      <c r="M85" s="1">
        <v>92.369154234654602</v>
      </c>
    </row>
    <row r="86" spans="1:13">
      <c r="A86" s="2"/>
      <c r="B86" s="1">
        <v>4.0147930326923076</v>
      </c>
      <c r="C86" s="1">
        <v>104.9595929</v>
      </c>
      <c r="D86" s="1">
        <v>7.5635493999725529</v>
      </c>
      <c r="E86" s="1">
        <v>104.959595096247</v>
      </c>
      <c r="H86" s="21">
        <v>12</v>
      </c>
      <c r="I86" s="21">
        <v>127.234678631477</v>
      </c>
      <c r="J86" s="1">
        <v>4.1957333379720341</v>
      </c>
      <c r="K86" s="1">
        <v>99.242759728028702</v>
      </c>
      <c r="L86" s="1">
        <v>3.3866853791103653</v>
      </c>
      <c r="M86" s="1">
        <v>105.51346587115999</v>
      </c>
    </row>
    <row r="87" spans="1:13">
      <c r="A87" s="2"/>
      <c r="H87" s="21">
        <v>16</v>
      </c>
      <c r="I87" s="21">
        <v>151.317325979234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46:S53">
    <sortCondition ref="A46:A53"/>
  </sortState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</vt:lpstr>
      <vt:lpstr>miranda</vt:lpstr>
      <vt:lpstr>jhtdb</vt:lpstr>
      <vt:lpstr>rtm</vt:lpstr>
      <vt:lpstr>qmcpack</vt:lpstr>
      <vt:lpstr>S3D</vt:lpstr>
      <vt:lpstr>nyx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2023-11-23T05:48:03Z</dcterms:modified>
</cp:coreProperties>
</file>